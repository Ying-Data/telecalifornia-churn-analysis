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ede_0021xgx\OneDrive\Bureaublad\Job seeking\Project for application\telecalifornia-churn-analysis\telecalifornia-churn-analysis\output\"/>
    </mc:Choice>
  </mc:AlternateContent>
  <xr:revisionPtr revIDLastSave="0" documentId="13_ncr:1_{275FF5B8-1A58-468B-9FAB-C8D89CC8F30D}" xr6:coauthVersionLast="47" xr6:coauthVersionMax="47" xr10:uidLastSave="{00000000-0000-0000-0000-000000000000}"/>
  <bookViews>
    <workbookView xWindow="-108" yWindow="-108" windowWidth="23256" windowHeight="12576" tabRatio="500" firstSheet="3" activeTab="5" xr2:uid="{00000000-000D-0000-FFFF-FFFF00000000}"/>
  </bookViews>
  <sheets>
    <sheet name="01 · Executive Summary" sheetId="1" r:id="rId1"/>
    <sheet name="02 · Churn Deep Dive" sheetId="2" r:id="rId2"/>
    <sheet name="03 · Revenue Waterfall" sheetId="3" r:id="rId3"/>
    <sheet name="04 · ML Predictions" sheetId="4" r:id="rId4"/>
    <sheet name="05 · Strategic Playbook" sheetId="5" r:id="rId5"/>
    <sheet name="06 · Clean Data Referenc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D9" i="2"/>
  <c r="E20" i="3"/>
  <c r="E19" i="3"/>
  <c r="E17" i="3"/>
  <c r="E16" i="3"/>
  <c r="E15" i="3"/>
  <c r="E14" i="3"/>
  <c r="E13" i="3"/>
  <c r="E11" i="3"/>
  <c r="E9" i="3"/>
  <c r="E8" i="3"/>
  <c r="E7" i="3"/>
  <c r="E6" i="3"/>
</calcChain>
</file>

<file path=xl/sharedStrings.xml><?xml version="1.0" encoding="utf-8"?>
<sst xmlns="http://schemas.openxmlformats.org/spreadsheetml/2006/main" count="711" uniqueCount="320">
  <si>
    <t>TELECOM CALIFORNIA — CHURN INTELLIGENCE REPORT  |  Q2 2022</t>
  </si>
  <si>
    <t>Prepared by Ying Zhao · Data Analyst   |   Confidential — For Internal Use Only</t>
  </si>
  <si>
    <t xml:space="preserve">  ▶  KEY PERFORMANCE INDICATORS</t>
  </si>
  <si>
    <t>CHURN RATE</t>
  </si>
  <si>
    <t>REVENUE AT RISK</t>
  </si>
  <si>
    <t>CUSTOMERS CHURNED</t>
  </si>
  <si>
    <t>Industry Avg: 18–25%</t>
  </si>
  <si>
    <t>Est. Annual Loss: $1.65M/yr</t>
  </si>
  <si>
    <t>Active Base: 4,720</t>
  </si>
  <si>
    <t>454</t>
  </si>
  <si>
    <t>AVG CHURNER CHARGE</t>
  </si>
  <si>
    <t>ML MODEL AUC</t>
  </si>
  <si>
    <t>CUSTOMERS JOINED</t>
  </si>
  <si>
    <t>vs. Avg Customer: $63.69/mo</t>
  </si>
  <si>
    <t>5-Fold CV Score: 0.9281 ± 0.005</t>
  </si>
  <si>
    <t>Net Customer Change: +454 New</t>
  </si>
  <si>
    <t xml:space="preserve">  ▶  PROBLEM STATEMENT &amp; BUSINESS CONTEXT</t>
  </si>
  <si>
    <t xml:space="preserve">  THE CHALLENGE</t>
  </si>
  <si>
    <t xml:space="preserve">  With 1,869 customers lost and $3.68M in total revenue attributed to churned accounts, the financial exposure is material.</t>
  </si>
  <si>
    <t xml:space="preserve">  Crucially, churned customers generate higher average monthly charges ($73.43 vs $63.69), meaning the company is losing</t>
  </si>
  <si>
    <t xml:space="preserve">  its most valuable users to competitors (45% of churn) while retaining lower-spend customers.</t>
  </si>
  <si>
    <t xml:space="preserve">  THE BUSINESS QUESTIONS WE ANSWER</t>
  </si>
  <si>
    <t xml:space="preserve">  1.  Who is churning — and why? (Profile, contract, service type, geography)</t>
  </si>
  <si>
    <t xml:space="preserve">  2.  When do they churn? (Tenure-based lifecycle risk windows)</t>
  </si>
  <si>
    <t xml:space="preserve">  3.  What is the financial impact per segment? (Revenue waterfall by churn driver)</t>
  </si>
  <si>
    <t xml:space="preserve">  5.  What should the business do about it? (Targeted retention playbook)</t>
  </si>
  <si>
    <t xml:space="preserve">  CHURN DEEP DIVE  —  Segment Analysis by Contract, Tenure, Internet Type &amp; Offer</t>
  </si>
  <si>
    <t xml:space="preserve">  Source: telecom_customer_churn.csv + telecom_zipcode_population.csv  |  Q2 2022  |  n = 6,589 (excl. Joined)</t>
  </si>
  <si>
    <t xml:space="preserve">  Contract Type vs. Churn Rate</t>
  </si>
  <si>
    <t>Contract Type</t>
  </si>
  <si>
    <t>Total Customers</t>
  </si>
  <si>
    <t>Churned</t>
  </si>
  <si>
    <t>Avg Monthly $</t>
  </si>
  <si>
    <t>Churn Rate</t>
  </si>
  <si>
    <t>Month-to-Month</t>
  </si>
  <si>
    <t>One Year</t>
  </si>
  <si>
    <t>Two Year</t>
  </si>
  <si>
    <t>TOTAL</t>
  </si>
  <si>
    <t xml:space="preserve">  Internet Type vs. Churn Rate</t>
  </si>
  <si>
    <t>Internet Type</t>
  </si>
  <si>
    <t>Total</t>
  </si>
  <si>
    <t>Fiber Optic</t>
  </si>
  <si>
    <t>Cable</t>
  </si>
  <si>
    <t>DSL</t>
  </si>
  <si>
    <t>No Internet</t>
  </si>
  <si>
    <t xml:space="preserve">  Tenure Lifecycle — When Do Customers Churn?</t>
  </si>
  <si>
    <t xml:space="preserve">  Offer Effectiveness vs. Churn</t>
  </si>
  <si>
    <t>Tenure Segment</t>
  </si>
  <si>
    <t>Offer</t>
  </si>
  <si>
    <t>0–6 Months</t>
  </si>
  <si>
    <t>No Offer</t>
  </si>
  <si>
    <t>6–12 Months</t>
  </si>
  <si>
    <t>Offer A</t>
  </si>
  <si>
    <t>1–2 Years</t>
  </si>
  <si>
    <t>Offer B</t>
  </si>
  <si>
    <t>2–4 Years</t>
  </si>
  <si>
    <t>Offer C</t>
  </si>
  <si>
    <t>4–6 Years</t>
  </si>
  <si>
    <t>Offer D</t>
  </si>
  <si>
    <t>Offer E</t>
  </si>
  <si>
    <t xml:space="preserve">  KEY INSIGHT</t>
  </si>
  <si>
    <t xml:space="preserve">  REVENUE WATERFALL  —  Where Did $21.4M Come From — and Where Did It Go?</t>
  </si>
  <si>
    <t xml:space="preserve">  Total Revenue Q2 2022 | Breakdown by Customer Status &amp; Churn Driver</t>
  </si>
  <si>
    <t xml:space="preserve">  Revenue Bridge — Full Quarter</t>
  </si>
  <si>
    <t>Revenue Component</t>
  </si>
  <si>
    <t>Customers</t>
  </si>
  <si>
    <t>Revenue ($)</t>
  </si>
  <si>
    <t>% of Total</t>
  </si>
  <si>
    <t>Interpretation</t>
  </si>
  <si>
    <t>🏦  Total Base Revenue</t>
  </si>
  <si>
    <t>All customers combined — baseline</t>
  </si>
  <si>
    <t xml:space="preserve">   ↳  Stayed Customers</t>
  </si>
  <si>
    <t>Active retained base — recurring revenue</t>
  </si>
  <si>
    <t xml:space="preserve">   ↳  New Customers (Joined)</t>
  </si>
  <si>
    <t>Onboarded this quarter — low revenue early</t>
  </si>
  <si>
    <t xml:space="preserve">   ↳  Churned Customers</t>
  </si>
  <si>
    <t>Revenue already earned but from lost accounts</t>
  </si>
  <si>
    <t>⚡  REVENUE LOST TO CHURN</t>
  </si>
  <si>
    <t>Est. annual forward revenue loss ($73/mo × 12)</t>
  </si>
  <si>
    <t>🔴  By Churn Driver — Competitor</t>
  </si>
  <si>
    <t>45% of churn — competitor pricing/devices</t>
  </si>
  <si>
    <t>🔴  By Churn Driver — Dissatisfied</t>
  </si>
  <si>
    <t>17% of churn — service/product issues</t>
  </si>
  <si>
    <t>🔴  By Churn Driver — Attitude</t>
  </si>
  <si>
    <t>17% of churn — support experience</t>
  </si>
  <si>
    <t>🔴  By Churn Driver — Price</t>
  </si>
  <si>
    <t>11% of churn — pricing sensitivity</t>
  </si>
  <si>
    <t>🔴  By Churn Driver — Other</t>
  </si>
  <si>
    <t>10% of churn — relocation, unknown</t>
  </si>
  <si>
    <t>💰  Replacement Cost (est.)</t>
  </si>
  <si>
    <t>CAC $300 × 1,869 lost customers</t>
  </si>
  <si>
    <t>💰  Total Business Impact</t>
  </si>
  <si>
    <t>Annual loss + replacement = total exposure</t>
  </si>
  <si>
    <t xml:space="preserve">  STRATEGIC CONTEXT &amp; FINANCIAL EXPOSURE</t>
  </si>
  <si>
    <t xml:space="preserve">  Competitors account for the largest churn bucket (45%). Device quality and promotional offers are the primary competitive threats.</t>
  </si>
  <si>
    <t xml:space="preserve">  Fiber Optic customers — the company's highest-value segment — show 42% churn, threatening the premium revenue base.</t>
  </si>
  <si>
    <t xml:space="preserve">  The ML model identifies 1,511 'Critical Risk' customers. Retaining even 20% of them saves ~$266,000 annually.</t>
  </si>
  <si>
    <t xml:space="preserve">  MACHINE LEARNING PREDICTIONS  —  Random Forest Churn Classifier  |  AUC = 0.9251</t>
  </si>
  <si>
    <t xml:space="preserve">  Model: RandomForestClassifier | 200 estimators | Stratified 5-Fold CV | Trained on 5,271 customers | Tested on 1,318</t>
  </si>
  <si>
    <t xml:space="preserve">  Model Performance Summary</t>
  </si>
  <si>
    <t>Metric</t>
  </si>
  <si>
    <t>Score</t>
  </si>
  <si>
    <t>AUC–ROC Score</t>
  </si>
  <si>
    <t>Excellent — model separates churners from non-churners 92.5% correctly</t>
  </si>
  <si>
    <t>Cross-Val AUC (5-fold)</t>
  </si>
  <si>
    <t>Robust — very low variance across all validation folds</t>
  </si>
  <si>
    <t>Overall Accuracy</t>
  </si>
  <si>
    <t>85% of all predictions are correct</t>
  </si>
  <si>
    <t>Precision (Churners)</t>
  </si>
  <si>
    <t>73%</t>
  </si>
  <si>
    <t>Of predicted churners, 73% actually churned — low false alarm rate</t>
  </si>
  <si>
    <t>Recall (Churners)</t>
  </si>
  <si>
    <t>76%</t>
  </si>
  <si>
    <t>76% of actual churners were flagged — catches 3 in 4 at-risk customers</t>
  </si>
  <si>
    <t>F1-Score (Churners)</t>
  </si>
  <si>
    <t>Balanced precision/recall — strong for imbalanced churn dataset</t>
  </si>
  <si>
    <t>False Negative Rate</t>
  </si>
  <si>
    <t>24%</t>
  </si>
  <si>
    <t>24% of churners missed — acceptable for proactive retention programs</t>
  </si>
  <si>
    <t>False Positive Rate</t>
  </si>
  <si>
    <t>11%</t>
  </si>
  <si>
    <t>11% of non-churners flagged — low cost of unnecessary retention outreach</t>
  </si>
  <si>
    <t xml:space="preserve">  Confusion Matrix (Test Set, n=1,318)</t>
  </si>
  <si>
    <t>Predicted: Stayed</t>
  </si>
  <si>
    <t>Predicted: Churned</t>
  </si>
  <si>
    <t>Row Total</t>
  </si>
  <si>
    <t>Actual: Stayed</t>
  </si>
  <si>
    <t>Actual: Churned</t>
  </si>
  <si>
    <t xml:space="preserve">  Top 10 Churn Predictors (Feature Importance)</t>
  </si>
  <si>
    <t>Rank</t>
  </si>
  <si>
    <t>Feature</t>
  </si>
  <si>
    <t>Importance Score</t>
  </si>
  <si>
    <t>Business Meaning</t>
  </si>
  <si>
    <t>Contract Risk Score</t>
  </si>
  <si>
    <t>Month-to-Month = 3x higher churn probability. Contract type is #1 predictor.</t>
  </si>
  <si>
    <t>Directly mirrors Contract Risk — confirms contract is the dominant factor.</t>
  </si>
  <si>
    <t>Tenure in Months</t>
  </si>
  <si>
    <t>Longer-tenured customers are significantly less likely to churn.</t>
  </si>
  <si>
    <t>Total Revenue</t>
  </si>
  <si>
    <t>Higher lifetime value customers show a different churn pattern.</t>
  </si>
  <si>
    <t>Number of Referrals</t>
  </si>
  <si>
    <t>Customers who refer others are invested in the brand — lower churn.</t>
  </si>
  <si>
    <t>Total Long Distance Charges</t>
  </si>
  <si>
    <t>Heavy phone users have more switching friction — lower churn tendency.</t>
  </si>
  <si>
    <t>Monthly Charge</t>
  </si>
  <si>
    <t>Price sensitivity — higher bills correlate with churn risk.</t>
  </si>
  <si>
    <t>Is Loyal Referrer (3+ refs)</t>
  </si>
  <si>
    <t>Engineered: advocacy flag — referrers show 3× lower churn.</t>
  </si>
  <si>
    <t>Number of Dependents</t>
  </si>
  <si>
    <t>Customers with dependents have higher service stickiness.</t>
  </si>
  <si>
    <t>Revenue Per Month (Lifetime)</t>
  </si>
  <si>
    <t>Lifetime monthly value — a proxy for commitment depth.</t>
  </si>
  <si>
    <t xml:space="preserve">  STRATEGIC RETENTION PLAYBOOK  —  5 Actions to Reduce Churn by 8–12 Points</t>
  </si>
  <si>
    <t xml:space="preserve">  Prioritized by ROI | Est. Impact Based on ML Predictions &amp; Segment Analysis</t>
  </si>
  <si>
    <t xml:space="preserve">  Retention Action Matrix</t>
  </si>
  <si>
    <t>#</t>
  </si>
  <si>
    <t>Action</t>
  </si>
  <si>
    <t>Target Segment</t>
  </si>
  <si>
    <t>Implementation</t>
  </si>
  <si>
    <t>Est. Churn Impact</t>
  </si>
  <si>
    <t>Est. Revenue Saved</t>
  </si>
  <si>
    <t>1</t>
  </si>
  <si>
    <t>CONTRACT UPGRADE CAMPAIGN</t>
  </si>
  <si>
    <t>-12 to -15 pts on M-t-M segment</t>
  </si>
  <si>
    <t>2</t>
  </si>
  <si>
    <t>ONBOARDING EXCELLENCE (0–6 Month)</t>
  </si>
  <si>
    <t>All new customers | Especially Month-to-Month</t>
  </si>
  <si>
    <t>-5 to -8 pts on 0-6M cohort (77% baseline churn)</t>
  </si>
  <si>
    <t>3</t>
  </si>
  <si>
    <t>FIBER OPTIC RETENTION PROGRAM</t>
  </si>
  <si>
    <t>Speed guarantee SLA + device upgrade program every 18 months. Competitor price-match clause for loyal customers.</t>
  </si>
  <si>
    <t>-6 to -10 pts on Fiber segment</t>
  </si>
  <si>
    <t>4</t>
  </si>
  <si>
    <t>OFFER E REDESIGN</t>
  </si>
  <si>
    <t>Immediate: Pause Offer E. Redesign with contract commitment requirement (min. 1 year). Replace with loyalty-linked offer.</t>
  </si>
  <si>
    <t>-20 pts on Offer E cohort</t>
  </si>
  <si>
    <t>5</t>
  </si>
  <si>
    <t>COMPETITIVE INTELLIGENCE &amp; DEVICE PROGRAM</t>
  </si>
  <si>
    <t>841 Competitor-churned customers (45% of all churn)</t>
  </si>
  <si>
    <t>Establish competitor monitoring. Launch 'Best Price Guarantee' and device refresh program every 24 months.</t>
  </si>
  <si>
    <t>-3 to -5 pts on Competitor bucket</t>
  </si>
  <si>
    <t>6</t>
  </si>
  <si>
    <t>AI-POWERED CHURN PREDICTION (LIVE)</t>
  </si>
  <si>
    <t>Deploy model in CRM. Auto-flag Critical Risk customers weekly. Assign retention team to top 200 weekly.</t>
  </si>
  <si>
    <t>-2 to -4 pts overall</t>
  </si>
  <si>
    <t xml:space="preserve">  ⚠ Note: "Est. Revenue Saved" figures per action are directional estimates for prioritisation purposes. See Combined ROI table below for scenario calculations derived from actual churn and revenue data.</t>
  </si>
  <si>
    <t xml:space="preserve">  Combined ROI Estimate</t>
  </si>
  <si>
    <t>Scenario</t>
  </si>
  <si>
    <t>Churn Rate Reduction</t>
  </si>
  <si>
    <t>Customers Retained</t>
  </si>
  <si>
    <t>Annual Revenue Saved</t>
  </si>
  <si>
    <t>Net ROI (after $150K program cost)</t>
  </si>
  <si>
    <t>Conservative</t>
  </si>
  <si>
    <t>−5 percentage points</t>
  </si>
  <si>
    <t>~327 customers</t>
  </si>
  <si>
    <t>Base Case</t>
  </si>
  <si>
    <t>−8 percentage points</t>
  </si>
  <si>
    <t>~525 customers</t>
  </si>
  <si>
    <t>Optimistic</t>
  </si>
  <si>
    <t>−12 percentage points</t>
  </si>
  <si>
    <t>~788 customers</t>
  </si>
  <si>
    <t xml:space="preserve">  CLEAN DATA REFERENCE  —  Feature-Engineered Dataset Ready for Power BI</t>
  </si>
  <si>
    <t xml:space="preserve">  First 50 rows shown | Full dataset: 7,043 rows × 55 columns | Export: telecom_clean_powerbi.csv</t>
  </si>
  <si>
    <t>Customer ID</t>
  </si>
  <si>
    <t>Gender</t>
  </si>
  <si>
    <t>Age</t>
  </si>
  <si>
    <t>Age_Segment</t>
  </si>
  <si>
    <t>Tenure_Segment</t>
  </si>
  <si>
    <t>Contract</t>
  </si>
  <si>
    <t>Customer Status</t>
  </si>
  <si>
    <t>Is_Churned</t>
  </si>
  <si>
    <t>Churn Category</t>
  </si>
  <si>
    <t>Churn_Risk_Tier</t>
  </si>
  <si>
    <t>Churn_Probability</t>
  </si>
  <si>
    <t>Service_Bundle_Score</t>
  </si>
  <si>
    <t>Is_Fiber</t>
  </si>
  <si>
    <t>0002-ORFBO</t>
  </si>
  <si>
    <t>Female</t>
  </si>
  <si>
    <t>Adult</t>
  </si>
  <si>
    <t>6-12M</t>
  </si>
  <si>
    <t>Stayed</t>
  </si>
  <si>
    <t>Not Churned</t>
  </si>
  <si>
    <t>Low Risk</t>
  </si>
  <si>
    <t>0003-MKNFE</t>
  </si>
  <si>
    <t>Male</t>
  </si>
  <si>
    <t>Senior</t>
  </si>
  <si>
    <t>Medium Risk</t>
  </si>
  <si>
    <t>0004-TLHLJ</t>
  </si>
  <si>
    <t>&lt;6M</t>
  </si>
  <si>
    <t>Competitor</t>
  </si>
  <si>
    <t>Critical Risk</t>
  </si>
  <si>
    <t>0011-IGKFF</t>
  </si>
  <si>
    <t>Elder</t>
  </si>
  <si>
    <t>1-2Y</t>
  </si>
  <si>
    <t>Dissatisfaction</t>
  </si>
  <si>
    <t>0013-EXCHZ</t>
  </si>
  <si>
    <t>0013-MHZWF</t>
  </si>
  <si>
    <t>Young Adult</t>
  </si>
  <si>
    <t>0013-SMEOE</t>
  </si>
  <si>
    <t>4-6Y</t>
  </si>
  <si>
    <t>0014-BMAQU</t>
  </si>
  <si>
    <t>0015-UOCOJ</t>
  </si>
  <si>
    <t>0016-QLJIS</t>
  </si>
  <si>
    <t>0017-DINOC</t>
  </si>
  <si>
    <t>0017-IUDMW</t>
  </si>
  <si>
    <t>0018-NYROU</t>
  </si>
  <si>
    <t>High Risk</t>
  </si>
  <si>
    <t>0019-EFAEP</t>
  </si>
  <si>
    <t>0019-GFNTW</t>
  </si>
  <si>
    <t>0020-INWCK</t>
  </si>
  <si>
    <t>0020-JDNXP</t>
  </si>
  <si>
    <t>2-4Y</t>
  </si>
  <si>
    <t>0021-IKXGC</t>
  </si>
  <si>
    <t>Joined</t>
  </si>
  <si>
    <t>0022-TCJCI</t>
  </si>
  <si>
    <t>0023-HGHWL</t>
  </si>
  <si>
    <t>0023-UYUPN</t>
  </si>
  <si>
    <t>0023-XUOPT</t>
  </si>
  <si>
    <t>Other</t>
  </si>
  <si>
    <t>0027-KWYKW</t>
  </si>
  <si>
    <t>0030-FNXPP</t>
  </si>
  <si>
    <t>0031-PVLZI</t>
  </si>
  <si>
    <t>Price</t>
  </si>
  <si>
    <t>0032-PGELS</t>
  </si>
  <si>
    <t>Attitude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</si>
  <si>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</si>
  <si>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</si>
  <si>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</si>
  <si>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</si>
  <si>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</si>
  <si>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</si>
  <si>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</si>
  <si>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</si>
  <si>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</si>
  <si>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</si>
  <si>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</si>
  <si>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</si>
  <si>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</si>
  <si>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</si>
  <si>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</si>
  <si>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</si>
  <si>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</si>
  <si>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</si>
  <si>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</si>
  <si>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</si>
  <si>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</si>
  <si>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</si>
  <si>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</si>
  <si>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</si>
  <si>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$3,68M</t>
  </si>
  <si>
    <t>$73,43/mo</t>
  </si>
  <si>
    <t xml:space="preserve">  TeleCalifornia (Q2 2022) is experiencing a 28,4% churn rate — well above the 18–25% telecom industry benchmark.
  With 1,869 customers lost and $3.68M in total revenue attributed to churned accounts, the financial exposure is material.
  Crucially, churned customers generate higher average monthly charges ($73,43 vs $63,69), meaning the company is losing
  its most valuable users to competitors (45% of churn) while retaining lower-spend customers.
  Note: churn rate calculated on active base of 6.589 customers (excludes 454 newly joined customers).</t>
  </si>
  <si>
    <t xml:space="preserve">  4.  Which customers will churn next? (ML prediction with 92,5% AUC)</t>
  </si>
  <si>
    <t xml:space="preserve">  ⚠  51,7% of Month-to-Month customers churn — 20× higher than Two-Year contracts.</t>
  </si>
  <si>
    <t xml:space="preserve">  ⚠  Fiber Optic users churn at 42,1% despite paying the highest monthly charge ($90,5 avg). Competitive pressure on speed/price is acute.</t>
  </si>
  <si>
    <t xml:space="preserve">  ⚠  77,2% of customers churn within their first 6 months — the onboarding phase is the highest-risk window.</t>
  </si>
  <si>
    <t xml:space="preserve">  ⚠  Offer E has a 67,6% churn rate — this promotion is attracting price-sensitive customers who leave quickly.</t>
  </si>
  <si>
    <t xml:space="preserve">  ✅  Two-Year contracts have only 2,6% churn. Contract migration is the single highest-ROI retention lever.</t>
  </si>
  <si>
    <t xml:space="preserve">  The company faces $2,2M in total annual financial exposure (revenue loss + customer acquisition cost to replace churners).</t>
  </si>
  <si>
    <t xml:space="preserve">  If the churn rate is reduced by just 5 percentage points (from 28,4% to 23,4%), the annual saving is ~$288.000.
  The ML model identifies 1.511 'Critical Risk' customers. Retaining even 20% of them saves ~$266.000 annually.</t>
  </si>
  <si>
    <t>0,9281 ± 0,005</t>
  </si>
  <si>
    <t>1.655 M-t-M churners | Fiber Optic users</t>
  </si>
  <si>
    <t>2.934 Fiber customers (42,1% churn)</t>
  </si>
  <si>
    <t>630 Offer E customers (67,6% churn rate!)</t>
  </si>
  <si>
    <t>$290.000–$430.000/yr</t>
  </si>
  <si>
    <t>Offer 1-year discount (15% off) to M-t-M customers at 3. 6. 9-month mark. Target Fiber Optic M-t-M first.</t>
  </si>
  <si>
    <t>Proactive check-ins at Day 7. 30. 90. Assign retention specialist to first-90-day cohort. Dedicated onboarding score.</t>
  </si>
  <si>
    <t>$180.000–$250.000/yr</t>
  </si>
  <si>
    <t>$210.000–$350.000/yr</t>
  </si>
  <si>
    <t>$95.000–$140.000/yr</t>
  </si>
  <si>
    <t>$130.000–$200.000/yr</t>
  </si>
  <si>
    <t>1.511 Critical Risk customers identified by ML</t>
  </si>
  <si>
    <t>$100.000–$180.000/yr</t>
  </si>
  <si>
    <t>$288.000</t>
  </si>
  <si>
    <t>$138.000</t>
  </si>
  <si>
    <t>$463.000</t>
  </si>
  <si>
    <t>$313.000</t>
  </si>
  <si>
    <t>$694.000</t>
  </si>
  <si>
    <t>$544.000</t>
  </si>
  <si>
    <t xml:space="preserve">  Methodology: Churn rate reduction scenarios calculated on active base of 6.589 customers (excludes 454 Joined). Avg monthly charge of churned customers: $73.43. Programme cost assumption: $150.000/year.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</si>
</sst>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\$#,##0"/>
  </numFmts>
  <fonts count="32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B2BEC3"/>
      <name val="Calibri"/>
      <charset val="1"/>
    </font>
    <font>
      <b/>
      <sz val="11"/>
      <color rgb="FFFFFFFF"/>
      <name val="Calibri"/>
      <charset val="1"/>
    </font>
    <font>
      <b/>
      <sz val="24"/>
      <color rgb="FF1B2A4A"/>
      <name val="Calibri"/>
      <charset val="1"/>
    </font>
    <font>
      <b/>
      <sz val="10"/>
      <color rgb="FF243352"/>
      <name val="Calibri"/>
      <charset val="1"/>
    </font>
    <font>
      <sz val="9"/>
      <color rgb="FFC0392B"/>
      <name val="Calibri"/>
      <charset val="1"/>
    </font>
    <font>
      <sz val="9"/>
      <color rgb="FF27AE60"/>
      <name val="Calibri"/>
      <charset val="1"/>
    </font>
    <font>
      <sz val="10"/>
      <color rgb="FF1B2A4A"/>
      <name val="Calibri"/>
      <charset val="1"/>
    </font>
    <font>
      <b/>
      <sz val="11"/>
      <color rgb="FF1B2A4A"/>
      <name val="Calibri"/>
      <charset val="1"/>
    </font>
    <font>
      <sz val="10"/>
      <color rgb="FF243352"/>
      <name val="Calibri"/>
      <charset val="1"/>
    </font>
    <font>
      <b/>
      <sz val="13"/>
      <color rgb="FFFFFFFF"/>
      <name val="Calibri"/>
      <charset val="1"/>
    </font>
    <font>
      <i/>
      <sz val="10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C0392B"/>
      <name val="Calibri"/>
      <charset val="1"/>
    </font>
    <font>
      <b/>
      <sz val="10"/>
      <color rgb="FF27AE60"/>
      <name val="Calibri"/>
      <charset val="1"/>
    </font>
    <font>
      <b/>
      <sz val="10"/>
      <color rgb="FFE67E22"/>
      <name val="Calibri"/>
      <charset val="1"/>
    </font>
    <font>
      <i/>
      <sz val="10"/>
      <color rgb="FF1B2A4A"/>
      <name val="Calibri"/>
      <charset val="1"/>
    </font>
    <font>
      <sz val="10"/>
      <color rgb="FFC0392B"/>
      <name val="Calibri"/>
      <charset val="1"/>
    </font>
    <font>
      <b/>
      <sz val="10"/>
      <color rgb="FF1B2A4A"/>
      <name val="Calibri"/>
      <charset val="1"/>
    </font>
    <font>
      <b/>
      <sz val="11"/>
      <color rgb="FF2E8B8B"/>
      <name val="Calibri"/>
      <charset val="1"/>
    </font>
    <font>
      <b/>
      <sz val="9"/>
      <color rgb="FF1B2A4A"/>
      <name val="Calibri"/>
      <charset val="1"/>
    </font>
    <font>
      <b/>
      <sz val="12"/>
      <color rgb="FF27AE60"/>
      <name val="Calibri"/>
      <charset val="1"/>
    </font>
    <font>
      <b/>
      <sz val="12"/>
      <color rgb="FFC0392B"/>
      <name val="Calibri"/>
      <charset val="1"/>
    </font>
    <font>
      <b/>
      <sz val="10"/>
      <name val="Calibri"/>
      <charset val="1"/>
    </font>
    <font>
      <b/>
      <sz val="10"/>
      <color rgb="FFD4703A"/>
      <name val="Calibri"/>
      <charset val="1"/>
    </font>
    <font>
      <b/>
      <sz val="14"/>
      <color rgb="FF1B2A4A"/>
      <name val="Calibri"/>
      <charset val="1"/>
    </font>
    <font>
      <sz val="9"/>
      <color rgb="FF1B2A4A"/>
      <name val="Calibri"/>
      <charset val="1"/>
    </font>
    <font>
      <b/>
      <sz val="9"/>
      <color rgb="FFC0392B"/>
      <name val="Calibri"/>
      <charset val="1"/>
    </font>
    <font>
      <b/>
      <sz val="9"/>
      <color rgb="FF27AE60"/>
      <name val="Calibri"/>
      <charset val="1"/>
    </font>
    <font>
      <i/>
      <sz val="9"/>
      <color rgb="FF5D6D7E"/>
      <name val="Arial"/>
      <charset val="1"/>
    </font>
    <font>
      <b/>
      <sz val="9"/>
      <color rgb="FFFFFFFF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243352"/>
      </patternFill>
    </fill>
    <fill>
      <patternFill patternType="solid">
        <fgColor rgb="FFE8854A"/>
        <bgColor rgb="FFE67E22"/>
      </patternFill>
    </fill>
    <fill>
      <patternFill patternType="solid">
        <fgColor rgb="FFFFFFFF"/>
        <bgColor rgb="FFF5F6FA"/>
      </patternFill>
    </fill>
    <fill>
      <patternFill patternType="solid">
        <fgColor rgb="FFF5F6FA"/>
        <bgColor rgb="FFEBF2F9"/>
      </patternFill>
    </fill>
    <fill>
      <patternFill patternType="solid">
        <fgColor rgb="FF243352"/>
        <bgColor rgb="FF1B2A4A"/>
      </patternFill>
    </fill>
    <fill>
      <patternFill patternType="solid">
        <fgColor rgb="FF2E8B8B"/>
        <bgColor rgb="FF008080"/>
      </patternFill>
    </fill>
    <fill>
      <patternFill patternType="solid">
        <fgColor rgb="FFD4A843"/>
        <bgColor rgb="FFE8854A"/>
      </patternFill>
    </fill>
    <fill>
      <patternFill patternType="solid">
        <fgColor rgb="FFFEF9E7"/>
        <bgColor rgb="FFF5F6FA"/>
      </patternFill>
    </fill>
    <fill>
      <patternFill patternType="solid">
        <fgColor rgb="FFC0392B"/>
        <bgColor rgb="FF993366"/>
      </patternFill>
    </fill>
    <fill>
      <patternFill patternType="solid">
        <fgColor rgb="FFEBF2F9"/>
        <bgColor rgb="FFF5F6FA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3" borderId="0" xfId="0" applyFill="1"/>
    <xf numFmtId="0" fontId="2" fillId="2" borderId="0" xfId="0" applyFont="1" applyFill="1" applyAlignment="1">
      <alignment horizontal="left" vertical="center" indent="3"/>
    </xf>
    <xf numFmtId="0" fontId="1" fillId="2" borderId="0" xfId="0" applyFont="1" applyFill="1" applyAlignment="1">
      <alignment horizontal="left" vertical="center" indent="3"/>
    </xf>
    <xf numFmtId="0" fontId="0" fillId="2" borderId="0" xfId="0" applyFill="1"/>
    <xf numFmtId="0" fontId="8" fillId="11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indent="2"/>
    </xf>
    <xf numFmtId="0" fontId="0" fillId="0" borderId="0" xfId="0"/>
    <xf numFmtId="0" fontId="3" fillId="6" borderId="0" xfId="0" applyFont="1" applyFill="1" applyAlignment="1">
      <alignment horizontal="left" vertical="center" indent="2"/>
    </xf>
    <xf numFmtId="0" fontId="12" fillId="6" borderId="0" xfId="0" applyFont="1" applyFill="1" applyAlignment="1">
      <alignment horizontal="left" vertical="center" indent="2"/>
    </xf>
    <xf numFmtId="0" fontId="11" fillId="2" borderId="0" xfId="0" applyFont="1" applyFill="1" applyAlignment="1">
      <alignment horizontal="left" vertical="center" indent="2"/>
    </xf>
    <xf numFmtId="0" fontId="13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5" fontId="14" fillId="5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165" fontId="15" fillId="5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65" fontId="14" fillId="4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5" fontId="16" fillId="5" borderId="1" xfId="0" applyNumberFormat="1" applyFont="1" applyFill="1" applyBorder="1" applyAlignment="1">
      <alignment horizontal="right" vertical="center"/>
    </xf>
    <xf numFmtId="165" fontId="16" fillId="4" borderId="1" xfId="0" applyNumberFormat="1" applyFont="1" applyFill="1" applyBorder="1" applyAlignment="1">
      <alignment horizontal="right" vertical="center"/>
    </xf>
    <xf numFmtId="3" fontId="13" fillId="2" borderId="1" xfId="0" applyNumberFormat="1" applyFont="1" applyFill="1" applyBorder="1" applyAlignment="1">
      <alignment horizontal="right" vertical="center"/>
    </xf>
    <xf numFmtId="166" fontId="13" fillId="2" borderId="1" xfId="0" applyNumberFormat="1" applyFont="1" applyFill="1" applyBorder="1" applyAlignment="1">
      <alignment horizontal="right" vertical="center"/>
    </xf>
    <xf numFmtId="3" fontId="8" fillId="4" borderId="1" xfId="0" applyNumberFormat="1" applyFont="1" applyFill="1" applyBorder="1" applyAlignment="1">
      <alignment horizontal="right" vertical="center"/>
    </xf>
    <xf numFmtId="166" fontId="8" fillId="4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left" vertical="center"/>
    </xf>
    <xf numFmtId="3" fontId="13" fillId="10" borderId="1" xfId="0" applyNumberFormat="1" applyFont="1" applyFill="1" applyBorder="1" applyAlignment="1">
      <alignment horizontal="right" vertical="center"/>
    </xf>
    <xf numFmtId="166" fontId="13" fillId="10" borderId="1" xfId="0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left" vertical="center"/>
    </xf>
    <xf numFmtId="3" fontId="18" fillId="5" borderId="1" xfId="0" applyNumberFormat="1" applyFont="1" applyFill="1" applyBorder="1" applyAlignment="1">
      <alignment horizontal="right" vertical="center"/>
    </xf>
    <xf numFmtId="166" fontId="18" fillId="5" borderId="1" xfId="0" applyNumberFormat="1" applyFont="1" applyFill="1" applyBorder="1" applyAlignment="1">
      <alignment horizontal="right" vertical="center"/>
    </xf>
    <xf numFmtId="0" fontId="19" fillId="8" borderId="1" xfId="0" applyFont="1" applyFill="1" applyBorder="1" applyAlignment="1">
      <alignment horizontal="left" vertical="center"/>
    </xf>
    <xf numFmtId="3" fontId="19" fillId="8" borderId="1" xfId="0" applyNumberFormat="1" applyFont="1" applyFill="1" applyBorder="1" applyAlignment="1">
      <alignment horizontal="right" vertical="center"/>
    </xf>
    <xf numFmtId="166" fontId="19" fillId="8" borderId="1" xfId="0" applyNumberFormat="1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right" vertical="center"/>
    </xf>
    <xf numFmtId="166" fontId="13" fillId="3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/>
    </xf>
    <xf numFmtId="165" fontId="25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/>
    </xf>
    <xf numFmtId="165" fontId="25" fillId="4" borderId="1" xfId="0" applyNumberFormat="1" applyFont="1" applyFill="1" applyBorder="1" applyAlignment="1">
      <alignment horizontal="right" vertical="center"/>
    </xf>
    <xf numFmtId="0" fontId="2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30" fillId="0" borderId="0" xfId="0" applyFont="1" applyAlignment="1">
      <alignment wrapText="1"/>
    </xf>
    <xf numFmtId="0" fontId="31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0" fillId="0" borderId="0" xfId="0" applyFont="1"/>
    <xf numFmtId="0" fontId="27" fillId="4" borderId="1" xfId="0" applyFont="1" applyFill="1" applyBorder="1" applyAlignment="1">
      <alignment horizontal="left" vertical="center"/>
    </xf>
    <xf numFmtId="164" fontId="27" fillId="4" borderId="1" xfId="0" applyNumberFormat="1" applyFont="1" applyFill="1" applyBorder="1" applyAlignment="1">
      <alignment horizontal="right" vertical="center"/>
    </xf>
    <xf numFmtId="10" fontId="27" fillId="4" borderId="1" xfId="0" applyNumberFormat="1" applyFont="1" applyFill="1" applyBorder="1" applyAlignment="1">
      <alignment horizontal="right" vertical="center"/>
    </xf>
    <xf numFmtId="0" fontId="27" fillId="5" borderId="1" xfId="0" applyFont="1" applyFill="1" applyBorder="1" applyAlignment="1">
      <alignment horizontal="left" vertical="center"/>
    </xf>
    <xf numFmtId="164" fontId="27" fillId="5" borderId="1" xfId="0" applyNumberFormat="1" applyFont="1" applyFill="1" applyBorder="1" applyAlignment="1">
      <alignment horizontal="right" vertical="center"/>
    </xf>
    <xf numFmtId="10" fontId="27" fillId="5" borderId="1" xfId="0" applyNumberFormat="1" applyFont="1" applyFill="1" applyBorder="1" applyAlignment="1">
      <alignment horizontal="right" vertical="center"/>
    </xf>
    <xf numFmtId="0" fontId="0" fillId="5" borderId="0" xfId="0" applyFill="1"/>
    <xf numFmtId="0" fontId="8" fillId="5" borderId="0" xfId="0" applyFont="1" applyFill="1" applyAlignment="1">
      <alignment horizontal="left" vertical="center" wrapText="1" indent="1"/>
    </xf>
    <xf numFmtId="0" fontId="9" fillId="5" borderId="0" xfId="0" applyFont="1" applyFill="1" applyAlignment="1">
      <alignment horizontal="left" vertical="center" wrapText="1" indent="1"/>
    </xf>
    <xf numFmtId="0" fontId="10" fillId="5" borderId="0" xfId="0" applyFont="1" applyFill="1" applyAlignment="1">
      <alignment horizontal="left" vertical="center" wrapText="1" indent="1"/>
    </xf>
    <xf numFmtId="0" fontId="3" fillId="7" borderId="0" xfId="0" applyFont="1" applyFill="1" applyAlignment="1">
      <alignment horizontal="left" vertical="center" indent="2"/>
    </xf>
    <xf numFmtId="0" fontId="9" fillId="8" borderId="0" xfId="0" applyFont="1" applyFill="1" applyAlignment="1">
      <alignment horizontal="left" vertical="center" indent="2"/>
    </xf>
    <xf numFmtId="0" fontId="17" fillId="9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13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10" fontId="4" fillId="4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0" fontId="20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4703A"/>
      <rgbColor rgb="FF800080"/>
      <rgbColor rgb="FF27AE60"/>
      <rgbColor rgb="FFB2BEC3"/>
      <rgbColor rgb="FF808080"/>
      <rgbColor rgb="FF9999FF"/>
      <rgbColor rgb="FF7B2D8B"/>
      <rgbColor rgb="FFFEF9E7"/>
      <rgbColor rgb="FFEBF2F9"/>
      <rgbColor rgb="FF660066"/>
      <rgbColor rgb="FFE8854A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843"/>
      <rgbColor rgb="FFE67E22"/>
      <rgbColor rgb="FF5D6D7E"/>
      <rgbColor rgb="FF95A5A6"/>
      <rgbColor rgb="FF1B2A4A"/>
      <rgbColor rgb="FF2E8B8B"/>
      <rgbColor rgb="FF003300"/>
      <rgbColor rgb="FF333300"/>
      <rgbColor rgb="FFC0392B"/>
      <rgbColor rgb="FF993366"/>
      <rgbColor rgb="FF333399"/>
      <rgbColor rgb="FF2433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J33"/>
  <sheetViews>
    <sheetView topLeftCell="A16" zoomScaleNormal="100" workbookViewId="0">
      <selection activeCell="A31" sqref="A31:J31"/>
    </sheetView>
  </sheetViews>
  <sheetFormatPr defaultColWidth="8.6640625" defaultRowHeight="14.4" x14ac:dyDescent="0.3"/>
  <cols>
    <col min="1" max="1" width="2" customWidth="1"/>
    <col min="2" max="2" width="28" customWidth="1"/>
    <col min="3" max="3" width="22" customWidth="1"/>
    <col min="4" max="4" width="2" customWidth="1"/>
    <col min="5" max="5" width="28" customWidth="1"/>
    <col min="6" max="6" width="22" customWidth="1"/>
    <col min="7" max="7" width="2" customWidth="1"/>
    <col min="8" max="8" width="28" customWidth="1"/>
    <col min="9" max="9" width="22" customWidth="1"/>
    <col min="10" max="10" width="2" customWidth="1"/>
  </cols>
  <sheetData>
    <row r="1" spans="1:10" ht="7.5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4" customHeight="1" x14ac:dyDescent="0.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pans="1:10" ht="24" customHeight="1" x14ac:dyDescent="0.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</row>
    <row r="4" spans="1:10" ht="7.5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9.75" customHeight="1" x14ac:dyDescent="0.3"/>
    <row r="6" spans="1:10" ht="21.75" customHeight="1" x14ac:dyDescent="0.3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3.5" customHeight="1" x14ac:dyDescent="0.3">
      <c r="B7" s="5"/>
      <c r="C7" s="5"/>
      <c r="E7" s="5"/>
      <c r="F7" s="5"/>
      <c r="H7" s="5"/>
      <c r="I7" s="5"/>
    </row>
    <row r="8" spans="1:10" ht="37.5" customHeight="1" x14ac:dyDescent="0.3">
      <c r="B8" s="103">
        <v>0.28399999999999997</v>
      </c>
      <c r="C8" s="4"/>
      <c r="E8" s="4" t="s">
        <v>289</v>
      </c>
      <c r="F8" s="4"/>
      <c r="H8" s="104">
        <v>1869</v>
      </c>
      <c r="I8" s="4"/>
    </row>
    <row r="9" spans="1:10" ht="19.5" customHeight="1" x14ac:dyDescent="0.3">
      <c r="B9" s="3" t="s">
        <v>3</v>
      </c>
      <c r="C9" s="3"/>
      <c r="E9" s="3" t="s">
        <v>4</v>
      </c>
      <c r="F9" s="3"/>
      <c r="H9" s="3" t="s">
        <v>5</v>
      </c>
      <c r="I9" s="3"/>
    </row>
    <row r="10" spans="1:10" ht="19.5" customHeight="1" x14ac:dyDescent="0.3">
      <c r="B10" s="2" t="s">
        <v>6</v>
      </c>
      <c r="C10" s="2"/>
      <c r="E10" s="2" t="s">
        <v>7</v>
      </c>
      <c r="F10" s="2"/>
      <c r="H10" s="1" t="s">
        <v>8</v>
      </c>
      <c r="I10" s="1"/>
    </row>
    <row r="11" spans="1:10" ht="13.5" customHeight="1" x14ac:dyDescent="0.3">
      <c r="B11" s="89"/>
      <c r="C11" s="89"/>
      <c r="E11" s="89"/>
      <c r="F11" s="89"/>
      <c r="H11" s="89"/>
      <c r="I11" s="89"/>
    </row>
    <row r="12" spans="1:10" ht="7.5" customHeight="1" x14ac:dyDescent="0.3"/>
    <row r="13" spans="1:10" ht="13.5" customHeight="1" x14ac:dyDescent="0.3">
      <c r="B13" s="5"/>
      <c r="C13" s="5"/>
      <c r="E13" s="5"/>
      <c r="F13" s="5"/>
      <c r="H13" s="5"/>
      <c r="I13" s="5"/>
    </row>
    <row r="14" spans="1:10" ht="37.5" customHeight="1" x14ac:dyDescent="0.3">
      <c r="B14" s="4" t="s">
        <v>290</v>
      </c>
      <c r="C14" s="4"/>
      <c r="E14" s="4">
        <v>0.92510000000000003</v>
      </c>
      <c r="F14" s="4"/>
      <c r="H14" s="4" t="s">
        <v>9</v>
      </c>
      <c r="I14" s="4"/>
    </row>
    <row r="15" spans="1:10" ht="19.5" customHeight="1" x14ac:dyDescent="0.3">
      <c r="B15" s="3" t="s">
        <v>10</v>
      </c>
      <c r="C15" s="3"/>
      <c r="E15" s="3" t="s">
        <v>11</v>
      </c>
      <c r="F15" s="3"/>
      <c r="H15" s="3" t="s">
        <v>12</v>
      </c>
      <c r="I15" s="3"/>
    </row>
    <row r="16" spans="1:10" ht="19.5" customHeight="1" x14ac:dyDescent="0.3">
      <c r="B16" s="2" t="s">
        <v>13</v>
      </c>
      <c r="C16" s="2"/>
      <c r="E16" s="1" t="s">
        <v>14</v>
      </c>
      <c r="F16" s="1"/>
      <c r="H16" s="1" t="s">
        <v>15</v>
      </c>
      <c r="I16" s="1"/>
    </row>
    <row r="17" spans="1:10" ht="13.5" customHeight="1" x14ac:dyDescent="0.3">
      <c r="B17" s="89"/>
      <c r="C17" s="89"/>
      <c r="E17" s="89"/>
      <c r="F17" s="89"/>
      <c r="H17" s="89"/>
      <c r="I17" s="89"/>
    </row>
    <row r="18" spans="1:10" ht="12" customHeight="1" x14ac:dyDescent="0.3"/>
    <row r="19" spans="1:10" ht="21.75" customHeight="1" x14ac:dyDescent="0.3">
      <c r="A19" s="12" t="s">
        <v>16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18" customHeight="1" x14ac:dyDescent="0.3">
      <c r="A20" s="90"/>
      <c r="B20" s="90"/>
      <c r="C20" s="90"/>
      <c r="D20" s="90"/>
      <c r="E20" s="90"/>
      <c r="F20" s="90"/>
      <c r="G20" s="90"/>
      <c r="H20" s="90"/>
      <c r="I20" s="90"/>
      <c r="J20" s="90"/>
    </row>
    <row r="21" spans="1:10" ht="21.75" customHeight="1" x14ac:dyDescent="0.3">
      <c r="A21" s="91" t="s">
        <v>17</v>
      </c>
      <c r="B21" s="91"/>
      <c r="C21" s="91"/>
      <c r="D21" s="91"/>
      <c r="E21" s="91"/>
      <c r="F21" s="91"/>
      <c r="G21" s="91"/>
      <c r="H21" s="91"/>
      <c r="I21" s="91"/>
      <c r="J21" s="91"/>
    </row>
    <row r="22" spans="1:10" x14ac:dyDescent="0.3">
      <c r="A22" s="90" t="s">
        <v>291</v>
      </c>
      <c r="B22" s="90"/>
      <c r="C22" s="90"/>
      <c r="D22" s="90"/>
      <c r="E22" s="90"/>
      <c r="F22" s="90"/>
      <c r="G22" s="90"/>
      <c r="H22" s="90"/>
      <c r="I22" s="90"/>
      <c r="J22" s="90"/>
    </row>
    <row r="23" spans="1:10" ht="18" customHeight="1" x14ac:dyDescent="0.3">
      <c r="A23" s="92" t="s">
        <v>18</v>
      </c>
      <c r="B23" s="92"/>
      <c r="C23" s="92"/>
      <c r="D23" s="92"/>
      <c r="E23" s="92"/>
      <c r="F23" s="92"/>
      <c r="G23" s="92"/>
      <c r="H23" s="92"/>
      <c r="I23" s="92"/>
      <c r="J23" s="92"/>
    </row>
    <row r="24" spans="1:10" ht="18" customHeight="1" x14ac:dyDescent="0.3">
      <c r="A24" s="92" t="s">
        <v>19</v>
      </c>
      <c r="B24" s="92"/>
      <c r="C24" s="92"/>
      <c r="D24" s="92"/>
      <c r="E24" s="92"/>
      <c r="F24" s="92"/>
      <c r="G24" s="92"/>
      <c r="H24" s="92"/>
      <c r="I24" s="92"/>
      <c r="J24" s="92"/>
    </row>
    <row r="25" spans="1:10" ht="18" customHeight="1" x14ac:dyDescent="0.3">
      <c r="A25" s="90" t="s">
        <v>20</v>
      </c>
      <c r="B25" s="90"/>
      <c r="C25" s="90"/>
      <c r="D25" s="90"/>
      <c r="E25" s="90"/>
      <c r="F25" s="90"/>
      <c r="G25" s="90"/>
      <c r="H25" s="90"/>
      <c r="I25" s="90"/>
      <c r="J25" s="90"/>
    </row>
    <row r="26" spans="1:10" ht="18" customHeight="1" x14ac:dyDescent="0.3">
      <c r="A26" s="90"/>
      <c r="B26" s="90"/>
      <c r="C26" s="90"/>
      <c r="D26" s="90"/>
      <c r="E26" s="90"/>
      <c r="F26" s="90"/>
      <c r="G26" s="90"/>
      <c r="H26" s="90"/>
      <c r="I26" s="90"/>
      <c r="J26" s="90"/>
    </row>
    <row r="27" spans="1:10" ht="21.75" customHeight="1" x14ac:dyDescent="0.3">
      <c r="A27" s="91" t="s">
        <v>21</v>
      </c>
      <c r="B27" s="91"/>
      <c r="C27" s="91"/>
      <c r="D27" s="91"/>
      <c r="E27" s="91"/>
      <c r="F27" s="91"/>
      <c r="G27" s="91"/>
      <c r="H27" s="91"/>
      <c r="I27" s="91"/>
      <c r="J27" s="91"/>
    </row>
    <row r="28" spans="1:10" ht="18" customHeight="1" x14ac:dyDescent="0.3">
      <c r="A28" s="92" t="s">
        <v>22</v>
      </c>
      <c r="B28" s="92"/>
      <c r="C28" s="92"/>
      <c r="D28" s="92"/>
      <c r="E28" s="92"/>
      <c r="F28" s="92"/>
      <c r="G28" s="92"/>
      <c r="H28" s="92"/>
      <c r="I28" s="92"/>
      <c r="J28" s="92"/>
    </row>
    <row r="29" spans="1:10" ht="18" customHeight="1" x14ac:dyDescent="0.3">
      <c r="A29" s="92" t="s">
        <v>23</v>
      </c>
      <c r="B29" s="92"/>
      <c r="C29" s="92"/>
      <c r="D29" s="92"/>
      <c r="E29" s="92"/>
      <c r="F29" s="92"/>
      <c r="G29" s="92"/>
      <c r="H29" s="92"/>
      <c r="I29" s="92"/>
      <c r="J29" s="92"/>
    </row>
    <row r="30" spans="1:10" ht="18" customHeight="1" x14ac:dyDescent="0.3">
      <c r="A30" s="92" t="s">
        <v>24</v>
      </c>
      <c r="B30" s="92"/>
      <c r="C30" s="92"/>
      <c r="D30" s="92"/>
      <c r="E30" s="92"/>
      <c r="F30" s="92"/>
      <c r="G30" s="92"/>
      <c r="H30" s="92"/>
      <c r="I30" s="92"/>
      <c r="J30" s="92"/>
    </row>
    <row r="31" spans="1:10" ht="18" customHeight="1" x14ac:dyDescent="0.3">
      <c r="A31" s="92" t="s">
        <v>292</v>
      </c>
      <c r="B31" s="92"/>
      <c r="C31" s="92"/>
      <c r="D31" s="92"/>
      <c r="E31" s="92"/>
      <c r="F31" s="92"/>
      <c r="G31" s="92"/>
      <c r="H31" s="92"/>
      <c r="I31" s="92"/>
      <c r="J31" s="92"/>
    </row>
    <row r="32" spans="1:10" ht="18" customHeight="1" x14ac:dyDescent="0.3">
      <c r="A32" s="92" t="s">
        <v>25</v>
      </c>
      <c r="B32" s="92"/>
      <c r="C32" s="92"/>
      <c r="D32" s="92"/>
      <c r="E32" s="92"/>
      <c r="F32" s="92"/>
      <c r="G32" s="92"/>
      <c r="H32" s="92"/>
      <c r="I32" s="92"/>
      <c r="J32" s="92"/>
    </row>
    <row r="33" spans="1:10" ht="18" customHeight="1" x14ac:dyDescent="0.3">
      <c r="A33" s="90"/>
      <c r="B33" s="90"/>
      <c r="C33" s="90"/>
      <c r="D33" s="90"/>
      <c r="E33" s="90"/>
      <c r="F33" s="90"/>
      <c r="G33" s="90"/>
      <c r="H33" s="90"/>
      <c r="I33" s="90"/>
      <c r="J33" s="90"/>
    </row>
  </sheetData>
  <mergeCells count="50">
    <mergeCell ref="A29:J29"/>
    <mergeCell ref="A30:J30"/>
    <mergeCell ref="A31:J31"/>
    <mergeCell ref="A32:J32"/>
    <mergeCell ref="A33:J33"/>
    <mergeCell ref="A24:J24"/>
    <mergeCell ref="A25:J25"/>
    <mergeCell ref="A26:J26"/>
    <mergeCell ref="A27:J27"/>
    <mergeCell ref="A28:J28"/>
    <mergeCell ref="A19:J19"/>
    <mergeCell ref="A20:J20"/>
    <mergeCell ref="A21:J21"/>
    <mergeCell ref="A22:J22"/>
    <mergeCell ref="A23:J23"/>
    <mergeCell ref="B16:C16"/>
    <mergeCell ref="E16:F16"/>
    <mergeCell ref="H16:I16"/>
    <mergeCell ref="B17:C17"/>
    <mergeCell ref="E17:F17"/>
    <mergeCell ref="H17:I17"/>
    <mergeCell ref="B14:C14"/>
    <mergeCell ref="E14:F14"/>
    <mergeCell ref="H14:I14"/>
    <mergeCell ref="B15:C15"/>
    <mergeCell ref="E15:F15"/>
    <mergeCell ref="H15:I15"/>
    <mergeCell ref="B11:C11"/>
    <mergeCell ref="E11:F11"/>
    <mergeCell ref="H11:I11"/>
    <mergeCell ref="B13:C13"/>
    <mergeCell ref="E13:F13"/>
    <mergeCell ref="H13:I13"/>
    <mergeCell ref="B9:C9"/>
    <mergeCell ref="E9:F9"/>
    <mergeCell ref="H9:I9"/>
    <mergeCell ref="B10:C10"/>
    <mergeCell ref="E10:F10"/>
    <mergeCell ref="H10:I10"/>
    <mergeCell ref="B7:C7"/>
    <mergeCell ref="E7:F7"/>
    <mergeCell ref="H7:I7"/>
    <mergeCell ref="B8:C8"/>
    <mergeCell ref="E8:F8"/>
    <mergeCell ref="H8:I8"/>
    <mergeCell ref="A1:J1"/>
    <mergeCell ref="A2:J2"/>
    <mergeCell ref="A3:J3"/>
    <mergeCell ref="A4:J4"/>
    <mergeCell ref="A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854A"/>
  </sheetPr>
  <dimension ref="A1:J36"/>
  <sheetViews>
    <sheetView topLeftCell="A15" zoomScaleNormal="100" workbookViewId="0">
      <selection activeCell="A36" sqref="A36:J36"/>
    </sheetView>
  </sheetViews>
  <sheetFormatPr defaultColWidth="8.6640625" defaultRowHeight="14.4" x14ac:dyDescent="0.3"/>
  <cols>
    <col min="1" max="1" width="14.5546875" customWidth="1"/>
    <col min="2" max="2" width="26" customWidth="1"/>
    <col min="3" max="4" width="14" customWidth="1"/>
    <col min="5" max="5" width="16" customWidth="1"/>
    <col min="6" max="6" width="3" customWidth="1"/>
    <col min="7" max="7" width="26" customWidth="1"/>
    <col min="8" max="9" width="14" customWidth="1"/>
    <col min="10" max="10" width="16" customWidth="1"/>
  </cols>
  <sheetData>
    <row r="1" spans="1:10" ht="27.75" customHeight="1" x14ac:dyDescent="0.3">
      <c r="A1" s="14" t="s">
        <v>26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3">
      <c r="A2" s="13" t="s">
        <v>27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1.75" customHeight="1" x14ac:dyDescent="0.3">
      <c r="A4" s="12" t="s">
        <v>28</v>
      </c>
      <c r="B4" s="12"/>
      <c r="C4" s="12"/>
      <c r="D4" s="12"/>
      <c r="E4" s="12"/>
    </row>
    <row r="5" spans="1:10" ht="21.75" customHeight="1" x14ac:dyDescent="0.3">
      <c r="A5" s="15" t="s">
        <v>29</v>
      </c>
      <c r="B5" s="15" t="s">
        <v>30</v>
      </c>
      <c r="C5" s="15" t="s">
        <v>31</v>
      </c>
      <c r="D5" s="15" t="s">
        <v>32</v>
      </c>
      <c r="E5" s="15" t="s">
        <v>33</v>
      </c>
    </row>
    <row r="6" spans="1:10" x14ac:dyDescent="0.3">
      <c r="A6" s="16" t="s">
        <v>34</v>
      </c>
      <c r="B6" s="17">
        <v>3202</v>
      </c>
      <c r="C6" s="17">
        <v>1655</v>
      </c>
      <c r="D6" s="18">
        <v>67.28</v>
      </c>
      <c r="E6" s="19">
        <v>0.51690000000000003</v>
      </c>
    </row>
    <row r="7" spans="1:10" x14ac:dyDescent="0.3">
      <c r="A7" s="20" t="s">
        <v>35</v>
      </c>
      <c r="B7" s="21">
        <v>1526</v>
      </c>
      <c r="C7" s="21">
        <v>166</v>
      </c>
      <c r="D7" s="22">
        <v>64.95</v>
      </c>
      <c r="E7" s="23">
        <v>0.10879999999999999</v>
      </c>
    </row>
    <row r="8" spans="1:10" x14ac:dyDescent="0.3">
      <c r="A8" s="16" t="s">
        <v>36</v>
      </c>
      <c r="B8" s="17">
        <v>1861</v>
      </c>
      <c r="C8" s="17">
        <v>48</v>
      </c>
      <c r="D8" s="18">
        <v>61.55</v>
      </c>
      <c r="E8" s="24">
        <v>2.58E-2</v>
      </c>
    </row>
    <row r="9" spans="1:10" x14ac:dyDescent="0.3">
      <c r="A9" s="25" t="s">
        <v>37</v>
      </c>
      <c r="B9" s="26">
        <v>6589</v>
      </c>
      <c r="C9" s="26">
        <v>1869</v>
      </c>
      <c r="D9" s="27">
        <f>AVERAGE(D6:D8)</f>
        <v>64.593333333333348</v>
      </c>
      <c r="E9" s="28">
        <f>C9/B9</f>
        <v>0.28365457580816511</v>
      </c>
    </row>
    <row r="11" spans="1:10" ht="21.75" customHeight="1" x14ac:dyDescent="0.3">
      <c r="G11" s="12" t="s">
        <v>38</v>
      </c>
      <c r="H11" s="12"/>
      <c r="I11" s="12"/>
      <c r="J11" s="12"/>
    </row>
    <row r="12" spans="1:10" ht="21.75" customHeight="1" x14ac:dyDescent="0.3">
      <c r="G12" s="15" t="s">
        <v>39</v>
      </c>
      <c r="H12" s="15" t="s">
        <v>40</v>
      </c>
      <c r="I12" s="15" t="s">
        <v>31</v>
      </c>
      <c r="J12" s="15" t="s">
        <v>33</v>
      </c>
    </row>
    <row r="13" spans="1:10" x14ac:dyDescent="0.3">
      <c r="G13" s="20" t="s">
        <v>41</v>
      </c>
      <c r="H13" s="21">
        <v>2934</v>
      </c>
      <c r="I13" s="21">
        <v>1236</v>
      </c>
      <c r="J13" s="29">
        <v>0.42130000000000001</v>
      </c>
    </row>
    <row r="14" spans="1:10" x14ac:dyDescent="0.3">
      <c r="G14" s="16" t="s">
        <v>42</v>
      </c>
      <c r="H14" s="17">
        <v>774</v>
      </c>
      <c r="I14" s="17">
        <v>213</v>
      </c>
      <c r="J14" s="30">
        <v>0.2752</v>
      </c>
    </row>
    <row r="15" spans="1:10" x14ac:dyDescent="0.3">
      <c r="G15" s="20" t="s">
        <v>43</v>
      </c>
      <c r="H15" s="21">
        <v>1537</v>
      </c>
      <c r="I15" s="21">
        <v>307</v>
      </c>
      <c r="J15" s="23">
        <v>0.19969999999999999</v>
      </c>
    </row>
    <row r="16" spans="1:10" x14ac:dyDescent="0.3">
      <c r="G16" s="16" t="s">
        <v>44</v>
      </c>
      <c r="H16" s="17">
        <v>1344</v>
      </c>
      <c r="I16" s="17">
        <v>113</v>
      </c>
      <c r="J16" s="24">
        <v>8.4099999999999994E-2</v>
      </c>
    </row>
    <row r="20" spans="1:10" ht="7.5" customHeight="1" x14ac:dyDescent="0.3"/>
    <row r="21" spans="1:10" ht="21.75" customHeight="1" x14ac:dyDescent="0.3">
      <c r="A21" s="93" t="s">
        <v>45</v>
      </c>
      <c r="B21" s="93"/>
      <c r="C21" s="93"/>
      <c r="D21" s="93"/>
      <c r="E21" s="93"/>
      <c r="G21" s="93" t="s">
        <v>46</v>
      </c>
      <c r="H21" s="93"/>
      <c r="I21" s="93"/>
      <c r="J21" s="93"/>
    </row>
    <row r="22" spans="1:10" ht="21.75" customHeight="1" x14ac:dyDescent="0.3">
      <c r="A22" s="31" t="s">
        <v>47</v>
      </c>
      <c r="B22" s="31" t="s">
        <v>40</v>
      </c>
      <c r="C22" s="31" t="s">
        <v>31</v>
      </c>
      <c r="D22" s="31" t="s">
        <v>32</v>
      </c>
      <c r="E22" s="31" t="s">
        <v>33</v>
      </c>
      <c r="G22" s="31" t="s">
        <v>48</v>
      </c>
      <c r="H22" s="31" t="s">
        <v>40</v>
      </c>
      <c r="I22" s="31" t="s">
        <v>31</v>
      </c>
      <c r="J22" s="31" t="s">
        <v>33</v>
      </c>
    </row>
    <row r="23" spans="1:10" x14ac:dyDescent="0.3">
      <c r="A23" s="20" t="s">
        <v>49</v>
      </c>
      <c r="B23" s="21">
        <v>1016</v>
      </c>
      <c r="C23" s="21">
        <v>784</v>
      </c>
      <c r="D23" s="32">
        <v>58.9</v>
      </c>
      <c r="E23" s="29">
        <v>0.77170000000000005</v>
      </c>
      <c r="G23" s="20" t="s">
        <v>50</v>
      </c>
      <c r="H23" s="21">
        <v>3598</v>
      </c>
      <c r="I23" s="21">
        <v>1051</v>
      </c>
      <c r="J23" s="23">
        <v>0.29210000000000003</v>
      </c>
    </row>
    <row r="24" spans="1:10" x14ac:dyDescent="0.3">
      <c r="A24" s="16" t="s">
        <v>51</v>
      </c>
      <c r="B24" s="17">
        <v>716</v>
      </c>
      <c r="C24" s="17">
        <v>253</v>
      </c>
      <c r="D24" s="33">
        <v>57.36</v>
      </c>
      <c r="E24" s="34">
        <v>0.35339999999999999</v>
      </c>
      <c r="G24" s="16" t="s">
        <v>52</v>
      </c>
      <c r="H24" s="17">
        <v>520</v>
      </c>
      <c r="I24" s="17">
        <v>35</v>
      </c>
      <c r="J24" s="24">
        <v>6.7299999999999999E-2</v>
      </c>
    </row>
    <row r="25" spans="1:10" x14ac:dyDescent="0.3">
      <c r="A25" s="20" t="s">
        <v>53</v>
      </c>
      <c r="B25" s="21">
        <v>1024</v>
      </c>
      <c r="C25" s="21">
        <v>294</v>
      </c>
      <c r="D25" s="32">
        <v>59.84</v>
      </c>
      <c r="E25" s="35">
        <v>0.28710000000000002</v>
      </c>
      <c r="G25" s="20" t="s">
        <v>54</v>
      </c>
      <c r="H25" s="21">
        <v>824</v>
      </c>
      <c r="I25" s="21">
        <v>101</v>
      </c>
      <c r="J25" s="23">
        <v>0.1226</v>
      </c>
    </row>
    <row r="26" spans="1:10" x14ac:dyDescent="0.3">
      <c r="A26" s="16" t="s">
        <v>55</v>
      </c>
      <c r="B26" s="17">
        <v>1594</v>
      </c>
      <c r="C26" s="17">
        <v>325</v>
      </c>
      <c r="D26" s="33">
        <v>65.03</v>
      </c>
      <c r="E26" s="30">
        <v>0.2039</v>
      </c>
      <c r="G26" s="16" t="s">
        <v>56</v>
      </c>
      <c r="H26" s="17">
        <v>415</v>
      </c>
      <c r="I26" s="17">
        <v>95</v>
      </c>
      <c r="J26" s="30">
        <v>0.22889999999999999</v>
      </c>
    </row>
    <row r="27" spans="1:10" x14ac:dyDescent="0.3">
      <c r="A27" s="20" t="s">
        <v>57</v>
      </c>
      <c r="B27" s="21">
        <v>2239</v>
      </c>
      <c r="C27" s="21">
        <v>213</v>
      </c>
      <c r="D27" s="32">
        <v>72.92</v>
      </c>
      <c r="E27" s="23">
        <v>9.5100000000000004E-2</v>
      </c>
      <c r="G27" s="20" t="s">
        <v>58</v>
      </c>
      <c r="H27" s="21">
        <v>602</v>
      </c>
      <c r="I27" s="21">
        <v>161</v>
      </c>
      <c r="J27" s="23">
        <v>0.26740000000000003</v>
      </c>
    </row>
    <row r="28" spans="1:10" x14ac:dyDescent="0.3">
      <c r="G28" s="16" t="s">
        <v>59</v>
      </c>
      <c r="H28" s="17">
        <v>630</v>
      </c>
      <c r="I28" s="17">
        <v>426</v>
      </c>
      <c r="J28" s="19">
        <v>0.67620000000000002</v>
      </c>
    </row>
    <row r="30" spans="1:10" ht="9.75" customHeight="1" x14ac:dyDescent="0.3"/>
    <row r="31" spans="1:10" ht="21.75" customHeight="1" x14ac:dyDescent="0.3">
      <c r="A31" s="94" t="s">
        <v>60</v>
      </c>
      <c r="B31" s="94"/>
      <c r="C31" s="94"/>
      <c r="D31" s="94"/>
      <c r="E31" s="94"/>
      <c r="F31" s="94"/>
      <c r="G31" s="94"/>
      <c r="H31" s="94"/>
      <c r="I31" s="94"/>
      <c r="J31" s="94"/>
    </row>
    <row r="32" spans="1:10" ht="18" customHeight="1" x14ac:dyDescent="0.3">
      <c r="A32" s="95" t="s">
        <v>293</v>
      </c>
      <c r="B32" s="95"/>
      <c r="C32" s="95"/>
      <c r="D32" s="95"/>
      <c r="E32" s="95"/>
      <c r="F32" s="95"/>
      <c r="G32" s="95"/>
      <c r="H32" s="95"/>
      <c r="I32" s="95"/>
      <c r="J32" s="95"/>
    </row>
    <row r="33" spans="1:10" ht="18" customHeight="1" x14ac:dyDescent="0.3">
      <c r="A33" s="95" t="s">
        <v>294</v>
      </c>
      <c r="B33" s="95"/>
      <c r="C33" s="95"/>
      <c r="D33" s="95"/>
      <c r="E33" s="95"/>
      <c r="F33" s="95"/>
      <c r="G33" s="95"/>
      <c r="H33" s="95"/>
      <c r="I33" s="95"/>
      <c r="J33" s="95"/>
    </row>
    <row r="34" spans="1:10" ht="18" customHeight="1" x14ac:dyDescent="0.3">
      <c r="A34" s="95" t="s">
        <v>295</v>
      </c>
      <c r="B34" s="95"/>
      <c r="C34" s="95"/>
      <c r="D34" s="95"/>
      <c r="E34" s="95"/>
      <c r="F34" s="95"/>
      <c r="G34" s="95"/>
      <c r="H34" s="95"/>
      <c r="I34" s="95"/>
      <c r="J34" s="95"/>
    </row>
    <row r="35" spans="1:10" ht="18" customHeight="1" x14ac:dyDescent="0.3">
      <c r="A35" s="95" t="s">
        <v>296</v>
      </c>
      <c r="B35" s="95"/>
      <c r="C35" s="95"/>
      <c r="D35" s="95"/>
      <c r="E35" s="95"/>
      <c r="F35" s="95"/>
      <c r="G35" s="95"/>
      <c r="H35" s="95"/>
      <c r="I35" s="95"/>
      <c r="J35" s="95"/>
    </row>
    <row r="36" spans="1:10" ht="18" customHeight="1" x14ac:dyDescent="0.3">
      <c r="A36" s="96" t="s">
        <v>297</v>
      </c>
      <c r="B36" s="96"/>
      <c r="C36" s="96"/>
      <c r="D36" s="96"/>
      <c r="E36" s="96"/>
      <c r="F36" s="96"/>
      <c r="G36" s="96"/>
      <c r="H36" s="96"/>
      <c r="I36" s="96"/>
      <c r="J36" s="96"/>
    </row>
  </sheetData>
  <mergeCells count="12">
    <mergeCell ref="A36:J36"/>
    <mergeCell ref="A31:J31"/>
    <mergeCell ref="A32:J32"/>
    <mergeCell ref="A33:J33"/>
    <mergeCell ref="A34:J34"/>
    <mergeCell ref="A35:J35"/>
    <mergeCell ref="A1:J1"/>
    <mergeCell ref="A2:J2"/>
    <mergeCell ref="A4:E4"/>
    <mergeCell ref="G11:J11"/>
    <mergeCell ref="A21:E21"/>
    <mergeCell ref="G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B8B"/>
  </sheetPr>
  <dimension ref="A1:G28"/>
  <sheetViews>
    <sheetView zoomScaleNormal="100" workbookViewId="0">
      <selection activeCell="E29" sqref="E29"/>
    </sheetView>
  </sheetViews>
  <sheetFormatPr defaultColWidth="8.6640625" defaultRowHeight="14.4" x14ac:dyDescent="0.3"/>
  <cols>
    <col min="1" max="1" width="3" customWidth="1"/>
    <col min="2" max="2" width="32" customWidth="1"/>
    <col min="3" max="3" width="20" customWidth="1"/>
    <col min="4" max="4" width="16" customWidth="1"/>
    <col min="5" max="5" width="20" customWidth="1"/>
    <col min="6" max="6" width="39.109375" bestFit="1" customWidth="1"/>
    <col min="7" max="7" width="3" customWidth="1"/>
  </cols>
  <sheetData>
    <row r="1" spans="1:7" ht="27.75" customHeight="1" x14ac:dyDescent="0.3">
      <c r="A1" s="14" t="s">
        <v>61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62</v>
      </c>
      <c r="B2" s="13"/>
      <c r="C2" s="13"/>
      <c r="D2" s="13"/>
      <c r="E2" s="13"/>
      <c r="F2" s="13"/>
      <c r="G2" s="13"/>
    </row>
    <row r="4" spans="1:7" ht="21.75" customHeight="1" x14ac:dyDescent="0.3">
      <c r="A4" s="12" t="s">
        <v>63</v>
      </c>
      <c r="B4" s="12"/>
      <c r="C4" s="12"/>
      <c r="D4" s="12"/>
      <c r="E4" s="12"/>
      <c r="F4" s="12"/>
      <c r="G4" s="12"/>
    </row>
    <row r="5" spans="1:7" ht="21.75" customHeight="1" x14ac:dyDescent="0.3">
      <c r="B5" s="15" t="s">
        <v>64</v>
      </c>
      <c r="C5" s="15" t="s">
        <v>65</v>
      </c>
      <c r="D5" s="15" t="s">
        <v>66</v>
      </c>
      <c r="E5" s="15" t="s">
        <v>67</v>
      </c>
      <c r="F5" s="15" t="s">
        <v>68</v>
      </c>
    </row>
    <row r="6" spans="1:7" ht="19.5" customHeight="1" x14ac:dyDescent="0.3">
      <c r="B6" s="25" t="s">
        <v>69</v>
      </c>
      <c r="C6" s="36">
        <v>7043</v>
      </c>
      <c r="D6" s="37">
        <v>21371132</v>
      </c>
      <c r="E6" s="23">
        <f>D6/21371132</f>
        <v>1</v>
      </c>
      <c r="F6" s="25" t="s">
        <v>70</v>
      </c>
    </row>
    <row r="7" spans="1:7" ht="19.5" customHeight="1" x14ac:dyDescent="0.3">
      <c r="B7" s="20" t="s">
        <v>71</v>
      </c>
      <c r="C7" s="38">
        <v>4720</v>
      </c>
      <c r="D7" s="39">
        <v>17632392</v>
      </c>
      <c r="E7" s="23">
        <f>D7/21371132</f>
        <v>0.82505652952777608</v>
      </c>
      <c r="F7" s="20" t="s">
        <v>72</v>
      </c>
    </row>
    <row r="8" spans="1:7" ht="19.5" customHeight="1" x14ac:dyDescent="0.3">
      <c r="B8" s="20" t="s">
        <v>73</v>
      </c>
      <c r="C8" s="38">
        <v>454</v>
      </c>
      <c r="D8" s="39">
        <v>54280</v>
      </c>
      <c r="E8" s="23">
        <f>D8/21371132</f>
        <v>2.5398748180489455E-3</v>
      </c>
      <c r="F8" s="20" t="s">
        <v>74</v>
      </c>
    </row>
    <row r="9" spans="1:7" ht="19.5" customHeight="1" x14ac:dyDescent="0.3">
      <c r="B9" s="20" t="s">
        <v>75</v>
      </c>
      <c r="C9" s="38">
        <v>1869</v>
      </c>
      <c r="D9" s="39">
        <v>3684460</v>
      </c>
      <c r="E9" s="23">
        <f>D9/21371132</f>
        <v>0.17240359565417498</v>
      </c>
      <c r="F9" s="20" t="s">
        <v>76</v>
      </c>
    </row>
    <row r="10" spans="1:7" ht="19.5" customHeight="1" x14ac:dyDescent="0.3"/>
    <row r="11" spans="1:7" ht="19.5" customHeight="1" x14ac:dyDescent="0.3">
      <c r="B11" s="40" t="s">
        <v>77</v>
      </c>
      <c r="C11" s="41">
        <v>1869</v>
      </c>
      <c r="D11" s="42">
        <v>-1646780</v>
      </c>
      <c r="E11" s="23">
        <f>D11/21371132</f>
        <v>-7.7056283214197538E-2</v>
      </c>
      <c r="F11" s="40" t="s">
        <v>78</v>
      </c>
    </row>
    <row r="12" spans="1:7" ht="19.5" customHeight="1" x14ac:dyDescent="0.3"/>
    <row r="13" spans="1:7" ht="19.5" customHeight="1" x14ac:dyDescent="0.3">
      <c r="B13" s="43" t="s">
        <v>79</v>
      </c>
      <c r="C13" s="44">
        <v>841</v>
      </c>
      <c r="D13" s="45">
        <v>1694413</v>
      </c>
      <c r="E13" s="30">
        <f>D13/21371132</f>
        <v>7.9285130988849817E-2</v>
      </c>
      <c r="F13" s="43" t="s">
        <v>80</v>
      </c>
    </row>
    <row r="14" spans="1:7" ht="19.5" customHeight="1" x14ac:dyDescent="0.3">
      <c r="B14" s="43" t="s">
        <v>81</v>
      </c>
      <c r="C14" s="44">
        <v>321</v>
      </c>
      <c r="D14" s="45">
        <v>563921</v>
      </c>
      <c r="E14" s="30">
        <f>D14/21371132</f>
        <v>2.6387043980637057E-2</v>
      </c>
      <c r="F14" s="43" t="s">
        <v>82</v>
      </c>
    </row>
    <row r="15" spans="1:7" ht="19.5" customHeight="1" x14ac:dyDescent="0.3">
      <c r="B15" s="43" t="s">
        <v>83</v>
      </c>
      <c r="C15" s="44">
        <v>314</v>
      </c>
      <c r="D15" s="45">
        <v>582174</v>
      </c>
      <c r="E15" s="30">
        <f>D15/21371132</f>
        <v>2.7241140057531813E-2</v>
      </c>
      <c r="F15" s="43" t="s">
        <v>84</v>
      </c>
    </row>
    <row r="16" spans="1:7" ht="19.5" customHeight="1" x14ac:dyDescent="0.3">
      <c r="B16" s="43" t="s">
        <v>85</v>
      </c>
      <c r="C16" s="44">
        <v>211</v>
      </c>
      <c r="D16" s="45">
        <v>438124</v>
      </c>
      <c r="E16" s="30">
        <f>D16/21371132</f>
        <v>2.0500739034319756E-2</v>
      </c>
      <c r="F16" s="43" t="s">
        <v>86</v>
      </c>
    </row>
    <row r="17" spans="1:7" ht="19.5" customHeight="1" x14ac:dyDescent="0.3">
      <c r="B17" s="43" t="s">
        <v>87</v>
      </c>
      <c r="C17" s="44">
        <v>182</v>
      </c>
      <c r="D17" s="45">
        <v>405828</v>
      </c>
      <c r="E17" s="30">
        <f>D17/21371132</f>
        <v>1.8989541592836542E-2</v>
      </c>
      <c r="F17" s="43" t="s">
        <v>88</v>
      </c>
    </row>
    <row r="18" spans="1:7" ht="19.5" customHeight="1" x14ac:dyDescent="0.3"/>
    <row r="19" spans="1:7" ht="19.5" customHeight="1" x14ac:dyDescent="0.3">
      <c r="B19" s="46" t="s">
        <v>89</v>
      </c>
      <c r="C19" s="47">
        <v>1869</v>
      </c>
      <c r="D19" s="48">
        <v>560700</v>
      </c>
      <c r="E19" s="23">
        <f>D19/21371132</f>
        <v>2.6236326648490123E-2</v>
      </c>
      <c r="F19" s="46" t="s">
        <v>90</v>
      </c>
    </row>
    <row r="20" spans="1:7" ht="19.5" customHeight="1" x14ac:dyDescent="0.3">
      <c r="B20" s="49" t="s">
        <v>91</v>
      </c>
      <c r="C20" s="50"/>
      <c r="D20" s="51">
        <v>2207480</v>
      </c>
      <c r="E20" s="23">
        <f>D20/21371132</f>
        <v>0.10329260986268766</v>
      </c>
      <c r="F20" s="49" t="s">
        <v>92</v>
      </c>
    </row>
    <row r="21" spans="1:7" x14ac:dyDescent="0.3">
      <c r="B21" s="11"/>
      <c r="C21" s="11"/>
      <c r="D21" s="11"/>
      <c r="E21" s="11"/>
      <c r="F21" s="11"/>
    </row>
    <row r="22" spans="1:7" ht="12" customHeight="1" x14ac:dyDescent="0.3"/>
    <row r="23" spans="1:7" ht="21.75" customHeight="1" x14ac:dyDescent="0.3">
      <c r="A23" s="10" t="s">
        <v>93</v>
      </c>
      <c r="B23" s="10"/>
      <c r="C23" s="10"/>
      <c r="D23" s="10"/>
      <c r="E23" s="10"/>
      <c r="F23" s="10"/>
      <c r="G23" s="10"/>
    </row>
    <row r="24" spans="1:7" ht="19.5" customHeight="1" x14ac:dyDescent="0.3">
      <c r="A24" s="9" t="s">
        <v>298</v>
      </c>
      <c r="B24" s="9"/>
      <c r="C24" s="9"/>
      <c r="D24" s="9"/>
      <c r="E24" s="9"/>
      <c r="F24" s="9"/>
      <c r="G24" s="9"/>
    </row>
    <row r="25" spans="1:7" ht="19.5" customHeight="1" x14ac:dyDescent="0.3">
      <c r="A25" s="9" t="s">
        <v>94</v>
      </c>
      <c r="B25" s="9"/>
      <c r="C25" s="9"/>
      <c r="D25" s="9"/>
      <c r="E25" s="9"/>
      <c r="F25" s="9"/>
      <c r="G25" s="9"/>
    </row>
    <row r="26" spans="1:7" ht="18.600000000000001" customHeight="1" x14ac:dyDescent="0.3">
      <c r="A26" s="9" t="s">
        <v>95</v>
      </c>
      <c r="B26" s="9"/>
      <c r="C26" s="9"/>
      <c r="D26" s="9"/>
      <c r="E26" s="9"/>
      <c r="F26" s="9"/>
      <c r="G26" s="9"/>
    </row>
    <row r="27" spans="1:7" x14ac:dyDescent="0.3">
      <c r="A27" s="9" t="s">
        <v>299</v>
      </c>
      <c r="B27" s="9"/>
      <c r="C27" s="9"/>
      <c r="D27" s="9"/>
      <c r="E27" s="9"/>
      <c r="F27" s="9"/>
      <c r="G27" s="9"/>
    </row>
    <row r="28" spans="1:7" ht="19.5" customHeight="1" x14ac:dyDescent="0.3">
      <c r="A28" s="9" t="s">
        <v>96</v>
      </c>
      <c r="B28" s="9"/>
      <c r="C28" s="9"/>
      <c r="D28" s="9"/>
      <c r="E28" s="9"/>
      <c r="F28" s="9"/>
      <c r="G28" s="9"/>
    </row>
  </sheetData>
  <mergeCells count="10">
    <mergeCell ref="A24:G24"/>
    <mergeCell ref="A25:G25"/>
    <mergeCell ref="A26:G26"/>
    <mergeCell ref="A27:G27"/>
    <mergeCell ref="A28:G28"/>
    <mergeCell ref="A1:G1"/>
    <mergeCell ref="A2:G2"/>
    <mergeCell ref="A4:G4"/>
    <mergeCell ref="B21:F21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2D8B"/>
  </sheetPr>
  <dimension ref="A1:H31"/>
  <sheetViews>
    <sheetView zoomScaleNormal="100" workbookViewId="0">
      <selection activeCell="K22" sqref="K22"/>
    </sheetView>
  </sheetViews>
  <sheetFormatPr defaultColWidth="8.6640625" defaultRowHeight="14.4" x14ac:dyDescent="0.3"/>
  <cols>
    <col min="1" max="1" width="3" customWidth="1"/>
    <col min="2" max="2" width="22" customWidth="1"/>
    <col min="3" max="3" width="25.21875" bestFit="1" customWidth="1"/>
    <col min="4" max="4" width="15" bestFit="1" customWidth="1"/>
    <col min="5" max="5" width="18.77734375" customWidth="1"/>
    <col min="6" max="6" width="16" customWidth="1"/>
    <col min="7" max="8" width="14" customWidth="1"/>
  </cols>
  <sheetData>
    <row r="1" spans="1:8" ht="27.75" customHeight="1" x14ac:dyDescent="0.3">
      <c r="A1" s="14" t="s">
        <v>97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98</v>
      </c>
      <c r="B2" s="13"/>
      <c r="C2" s="13"/>
      <c r="D2" s="13"/>
      <c r="E2" s="13"/>
      <c r="F2" s="13"/>
      <c r="G2" s="13"/>
      <c r="H2" s="13"/>
    </row>
    <row r="4" spans="1:8" ht="21.75" customHeight="1" x14ac:dyDescent="0.3">
      <c r="A4" s="12" t="s">
        <v>99</v>
      </c>
      <c r="B4" s="12"/>
      <c r="C4" s="12"/>
      <c r="D4" s="12"/>
      <c r="E4" s="12"/>
      <c r="F4" s="12"/>
      <c r="G4" s="12"/>
      <c r="H4" s="12"/>
    </row>
    <row r="5" spans="1:8" ht="21.75" customHeight="1" x14ac:dyDescent="0.3">
      <c r="B5" s="15" t="s">
        <v>100</v>
      </c>
      <c r="C5" s="15" t="s">
        <v>101</v>
      </c>
      <c r="D5" s="97" t="s">
        <v>68</v>
      </c>
      <c r="E5" s="97"/>
      <c r="F5" s="97"/>
      <c r="G5" s="97"/>
      <c r="H5" s="97"/>
    </row>
    <row r="6" spans="1:8" x14ac:dyDescent="0.3">
      <c r="B6" s="52" t="s">
        <v>102</v>
      </c>
      <c r="C6" s="53">
        <v>0.92510000000000003</v>
      </c>
      <c r="D6" s="98" t="s">
        <v>103</v>
      </c>
      <c r="E6" s="98"/>
      <c r="F6" s="98"/>
      <c r="G6" s="98"/>
      <c r="H6" s="98"/>
    </row>
    <row r="7" spans="1:8" x14ac:dyDescent="0.3">
      <c r="B7" s="54" t="s">
        <v>104</v>
      </c>
      <c r="C7" s="55" t="s">
        <v>300</v>
      </c>
      <c r="D7" s="99" t="s">
        <v>105</v>
      </c>
      <c r="E7" s="99"/>
      <c r="F7" s="99"/>
      <c r="G7" s="99"/>
      <c r="H7" s="99"/>
    </row>
    <row r="8" spans="1:8" x14ac:dyDescent="0.3">
      <c r="B8" s="52" t="s">
        <v>106</v>
      </c>
      <c r="C8" s="105">
        <v>0.85099999999999998</v>
      </c>
      <c r="D8" s="98" t="s">
        <v>107</v>
      </c>
      <c r="E8" s="98"/>
      <c r="F8" s="98"/>
      <c r="G8" s="98"/>
      <c r="H8" s="98"/>
    </row>
    <row r="9" spans="1:8" x14ac:dyDescent="0.3">
      <c r="B9" s="54" t="s">
        <v>108</v>
      </c>
      <c r="C9" s="55" t="s">
        <v>109</v>
      </c>
      <c r="D9" s="99" t="s">
        <v>110</v>
      </c>
      <c r="E9" s="99"/>
      <c r="F9" s="99"/>
      <c r="G9" s="99"/>
      <c r="H9" s="99"/>
    </row>
    <row r="10" spans="1:8" x14ac:dyDescent="0.3">
      <c r="B10" s="52" t="s">
        <v>111</v>
      </c>
      <c r="C10" s="53" t="s">
        <v>112</v>
      </c>
      <c r="D10" s="98" t="s">
        <v>113</v>
      </c>
      <c r="E10" s="98"/>
      <c r="F10" s="98"/>
      <c r="G10" s="98"/>
      <c r="H10" s="98"/>
    </row>
    <row r="11" spans="1:8" x14ac:dyDescent="0.3">
      <c r="B11" s="54" t="s">
        <v>114</v>
      </c>
      <c r="C11" s="55">
        <v>0.75</v>
      </c>
      <c r="D11" s="99" t="s">
        <v>115</v>
      </c>
      <c r="E11" s="99"/>
      <c r="F11" s="99"/>
      <c r="G11" s="99"/>
      <c r="H11" s="99"/>
    </row>
    <row r="12" spans="1:8" x14ac:dyDescent="0.3">
      <c r="B12" s="52" t="s">
        <v>116</v>
      </c>
      <c r="C12" s="53" t="s">
        <v>117</v>
      </c>
      <c r="D12" s="98" t="s">
        <v>118</v>
      </c>
      <c r="E12" s="98"/>
      <c r="F12" s="98"/>
      <c r="G12" s="98"/>
      <c r="H12" s="98"/>
    </row>
    <row r="13" spans="1:8" x14ac:dyDescent="0.3">
      <c r="B13" s="54" t="s">
        <v>119</v>
      </c>
      <c r="C13" s="55" t="s">
        <v>120</v>
      </c>
      <c r="D13" s="99" t="s">
        <v>121</v>
      </c>
      <c r="E13" s="99"/>
      <c r="F13" s="99"/>
      <c r="G13" s="99"/>
      <c r="H13" s="99"/>
    </row>
    <row r="14" spans="1:8" ht="9.75" customHeight="1" x14ac:dyDescent="0.3"/>
    <row r="15" spans="1:8" ht="21.75" customHeight="1" x14ac:dyDescent="0.3">
      <c r="B15" s="12" t="s">
        <v>122</v>
      </c>
      <c r="C15" s="12"/>
      <c r="D15" s="12"/>
      <c r="E15" s="12"/>
    </row>
    <row r="16" spans="1:8" ht="24" customHeight="1" x14ac:dyDescent="0.3">
      <c r="C16" s="56" t="s">
        <v>123</v>
      </c>
      <c r="D16" s="56" t="s">
        <v>124</v>
      </c>
      <c r="E16" s="56" t="s">
        <v>125</v>
      </c>
    </row>
    <row r="17" spans="1:8" ht="15" customHeight="1" x14ac:dyDescent="0.3">
      <c r="B17" s="57" t="s">
        <v>126</v>
      </c>
      <c r="C17" s="58">
        <v>837</v>
      </c>
      <c r="D17" s="59">
        <v>107</v>
      </c>
      <c r="E17" s="60">
        <v>944</v>
      </c>
    </row>
    <row r="18" spans="1:8" ht="15" customHeight="1" x14ac:dyDescent="0.3">
      <c r="B18" s="57" t="s">
        <v>127</v>
      </c>
      <c r="C18" s="59">
        <v>89</v>
      </c>
      <c r="D18" s="58">
        <v>285</v>
      </c>
      <c r="E18" s="60">
        <v>374</v>
      </c>
    </row>
    <row r="19" spans="1:8" ht="9.75" customHeight="1" x14ac:dyDescent="0.3"/>
    <row r="20" spans="1:8" ht="21.75" customHeight="1" x14ac:dyDescent="0.3">
      <c r="A20" s="10" t="s">
        <v>128</v>
      </c>
      <c r="B20" s="10"/>
      <c r="C20" s="10"/>
      <c r="D20" s="10"/>
      <c r="E20" s="10"/>
      <c r="F20" s="10"/>
      <c r="G20" s="10"/>
      <c r="H20" s="10"/>
    </row>
    <row r="21" spans="1:8" ht="21.75" customHeight="1" x14ac:dyDescent="0.3">
      <c r="B21" s="61" t="s">
        <v>129</v>
      </c>
      <c r="C21" s="61" t="s">
        <v>130</v>
      </c>
      <c r="D21" s="61" t="s">
        <v>131</v>
      </c>
      <c r="E21" s="100" t="s">
        <v>132</v>
      </c>
      <c r="F21" s="100"/>
      <c r="G21" s="100"/>
      <c r="H21" s="100"/>
    </row>
    <row r="22" spans="1:8" ht="15" customHeight="1" x14ac:dyDescent="0.3">
      <c r="B22" s="62">
        <v>1</v>
      </c>
      <c r="C22" s="63" t="s">
        <v>133</v>
      </c>
      <c r="D22" s="64">
        <v>0.14699999999999999</v>
      </c>
      <c r="E22" s="101" t="s">
        <v>134</v>
      </c>
      <c r="F22" s="101"/>
      <c r="G22" s="101"/>
      <c r="H22" s="101"/>
    </row>
    <row r="23" spans="1:8" ht="15" customHeight="1" x14ac:dyDescent="0.3">
      <c r="B23" s="65">
        <v>2</v>
      </c>
      <c r="C23" s="66" t="s">
        <v>29</v>
      </c>
      <c r="D23" s="67">
        <v>0.123</v>
      </c>
      <c r="E23" s="102" t="s">
        <v>135</v>
      </c>
      <c r="F23" s="102"/>
      <c r="G23" s="102"/>
      <c r="H23" s="102"/>
    </row>
    <row r="24" spans="1:8" ht="15" customHeight="1" x14ac:dyDescent="0.3">
      <c r="B24" s="62">
        <v>3</v>
      </c>
      <c r="C24" s="63" t="s">
        <v>136</v>
      </c>
      <c r="D24" s="64">
        <v>0.107</v>
      </c>
      <c r="E24" s="101" t="s">
        <v>137</v>
      </c>
      <c r="F24" s="101"/>
      <c r="G24" s="101"/>
      <c r="H24" s="101"/>
    </row>
    <row r="25" spans="1:8" ht="15" customHeight="1" x14ac:dyDescent="0.3">
      <c r="B25" s="65">
        <v>4</v>
      </c>
      <c r="C25" s="66" t="s">
        <v>138</v>
      </c>
      <c r="D25" s="67">
        <v>7.1999999999999995E-2</v>
      </c>
      <c r="E25" s="102" t="s">
        <v>139</v>
      </c>
      <c r="F25" s="102"/>
      <c r="G25" s="102"/>
      <c r="H25" s="102"/>
    </row>
    <row r="26" spans="1:8" ht="15" customHeight="1" x14ac:dyDescent="0.3">
      <c r="B26" s="62">
        <v>5</v>
      </c>
      <c r="C26" s="63" t="s">
        <v>140</v>
      </c>
      <c r="D26" s="64">
        <v>6.3E-2</v>
      </c>
      <c r="E26" s="101" t="s">
        <v>141</v>
      </c>
      <c r="F26" s="101"/>
      <c r="G26" s="101"/>
      <c r="H26" s="101"/>
    </row>
    <row r="27" spans="1:8" ht="15" customHeight="1" x14ac:dyDescent="0.3">
      <c r="B27" s="65">
        <v>6</v>
      </c>
      <c r="C27" s="66" t="s">
        <v>142</v>
      </c>
      <c r="D27" s="67">
        <v>4.8000000000000001E-2</v>
      </c>
      <c r="E27" s="102" t="s">
        <v>143</v>
      </c>
      <c r="F27" s="102"/>
      <c r="G27" s="102"/>
      <c r="H27" s="102"/>
    </row>
    <row r="28" spans="1:8" ht="15" customHeight="1" x14ac:dyDescent="0.3">
      <c r="B28" s="62">
        <v>7</v>
      </c>
      <c r="C28" s="63" t="s">
        <v>144</v>
      </c>
      <c r="D28" s="64">
        <v>4.5999999999999999E-2</v>
      </c>
      <c r="E28" s="101" t="s">
        <v>145</v>
      </c>
      <c r="F28" s="101"/>
      <c r="G28" s="101"/>
      <c r="H28" s="101"/>
    </row>
    <row r="29" spans="1:8" ht="15" customHeight="1" x14ac:dyDescent="0.3">
      <c r="B29" s="65">
        <v>8</v>
      </c>
      <c r="C29" s="66" t="s">
        <v>146</v>
      </c>
      <c r="D29" s="67">
        <v>4.4999999999999998E-2</v>
      </c>
      <c r="E29" s="102" t="s">
        <v>147</v>
      </c>
      <c r="F29" s="102"/>
      <c r="G29" s="102"/>
      <c r="H29" s="102"/>
    </row>
    <row r="30" spans="1:8" ht="15" customHeight="1" x14ac:dyDescent="0.3">
      <c r="B30" s="62">
        <v>9</v>
      </c>
      <c r="C30" s="63" t="s">
        <v>148</v>
      </c>
      <c r="D30" s="64">
        <v>3.9E-2</v>
      </c>
      <c r="E30" s="101" t="s">
        <v>149</v>
      </c>
      <c r="F30" s="101"/>
      <c r="G30" s="101"/>
      <c r="H30" s="101"/>
    </row>
    <row r="31" spans="1:8" ht="15" customHeight="1" x14ac:dyDescent="0.3">
      <c r="B31" s="65">
        <v>10</v>
      </c>
      <c r="C31" s="66" t="s">
        <v>150</v>
      </c>
      <c r="D31" s="67">
        <v>3.6999999999999998E-2</v>
      </c>
      <c r="E31" s="102" t="s">
        <v>151</v>
      </c>
      <c r="F31" s="102"/>
      <c r="G31" s="102"/>
      <c r="H31" s="102"/>
    </row>
  </sheetData>
  <mergeCells count="25">
    <mergeCell ref="E27:H27"/>
    <mergeCell ref="E28:H28"/>
    <mergeCell ref="E29:H29"/>
    <mergeCell ref="E30:H30"/>
    <mergeCell ref="E31:H31"/>
    <mergeCell ref="E22:H22"/>
    <mergeCell ref="E23:H23"/>
    <mergeCell ref="E24:H24"/>
    <mergeCell ref="E25:H25"/>
    <mergeCell ref="E26:H26"/>
    <mergeCell ref="D12:H12"/>
    <mergeCell ref="D13:H13"/>
    <mergeCell ref="B15:E15"/>
    <mergeCell ref="A20:H20"/>
    <mergeCell ref="E21:H21"/>
    <mergeCell ref="D7:H7"/>
    <mergeCell ref="D8:H8"/>
    <mergeCell ref="D9:H9"/>
    <mergeCell ref="D10:H10"/>
    <mergeCell ref="D11:H11"/>
    <mergeCell ref="A1:H1"/>
    <mergeCell ref="A2:H2"/>
    <mergeCell ref="A4:H4"/>
    <mergeCell ref="D5:H5"/>
    <mergeCell ref="D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H19"/>
  <sheetViews>
    <sheetView topLeftCell="A9" zoomScaleNormal="100" workbookViewId="0">
      <selection activeCell="J9" sqref="J9"/>
    </sheetView>
  </sheetViews>
  <sheetFormatPr defaultColWidth="8.6640625" defaultRowHeight="14.4" x14ac:dyDescent="0.3"/>
  <cols>
    <col min="1" max="1" width="3" customWidth="1"/>
    <col min="2" max="2" width="5" customWidth="1"/>
    <col min="3" max="3" width="28" customWidth="1"/>
    <col min="4" max="4" width="22" customWidth="1"/>
    <col min="5" max="5" width="20" customWidth="1"/>
    <col min="6" max="6" width="16" customWidth="1"/>
    <col min="7" max="7" width="16.5546875" bestFit="1" customWidth="1"/>
    <col min="8" max="8" width="3" customWidth="1"/>
  </cols>
  <sheetData>
    <row r="1" spans="1:8" ht="27.75" customHeight="1" x14ac:dyDescent="0.3">
      <c r="A1" s="14" t="s">
        <v>152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153</v>
      </c>
      <c r="B2" s="13"/>
      <c r="C2" s="13"/>
      <c r="D2" s="13"/>
      <c r="E2" s="13"/>
      <c r="F2" s="13"/>
      <c r="G2" s="13"/>
      <c r="H2" s="13"/>
    </row>
    <row r="4" spans="1:8" ht="21.75" customHeight="1" x14ac:dyDescent="0.3">
      <c r="A4" s="12" t="s">
        <v>154</v>
      </c>
      <c r="B4" s="12"/>
      <c r="C4" s="12"/>
      <c r="D4" s="12"/>
      <c r="E4" s="12"/>
      <c r="F4" s="12"/>
      <c r="G4" s="12"/>
      <c r="H4" s="12"/>
    </row>
    <row r="5" spans="1:8" ht="21.75" customHeight="1" x14ac:dyDescent="0.3">
      <c r="B5" s="15" t="s">
        <v>155</v>
      </c>
      <c r="C5" s="15" t="s">
        <v>156</v>
      </c>
      <c r="D5" s="15" t="s">
        <v>157</v>
      </c>
      <c r="E5" s="15" t="s">
        <v>158</v>
      </c>
      <c r="F5" s="15" t="s">
        <v>159</v>
      </c>
      <c r="G5" s="15" t="s">
        <v>160</v>
      </c>
    </row>
    <row r="6" spans="1:8" ht="54.75" customHeight="1" x14ac:dyDescent="0.3">
      <c r="B6" s="68" t="s">
        <v>161</v>
      </c>
      <c r="C6" s="69" t="s">
        <v>162</v>
      </c>
      <c r="D6" s="70" t="s">
        <v>301</v>
      </c>
      <c r="E6" s="70" t="s">
        <v>305</v>
      </c>
      <c r="F6" s="71" t="s">
        <v>163</v>
      </c>
      <c r="G6" s="72" t="s">
        <v>304</v>
      </c>
    </row>
    <row r="7" spans="1:8" ht="60" customHeight="1" x14ac:dyDescent="0.3">
      <c r="B7" s="73" t="s">
        <v>164</v>
      </c>
      <c r="C7" s="74" t="s">
        <v>165</v>
      </c>
      <c r="D7" s="75" t="s">
        <v>166</v>
      </c>
      <c r="E7" s="75" t="s">
        <v>306</v>
      </c>
      <c r="F7" s="76" t="s">
        <v>167</v>
      </c>
      <c r="G7" s="77" t="s">
        <v>307</v>
      </c>
    </row>
    <row r="8" spans="1:8" ht="60" customHeight="1" x14ac:dyDescent="0.3">
      <c r="B8" s="68" t="s">
        <v>168</v>
      </c>
      <c r="C8" s="69" t="s">
        <v>169</v>
      </c>
      <c r="D8" s="70" t="s">
        <v>302</v>
      </c>
      <c r="E8" s="70" t="s">
        <v>170</v>
      </c>
      <c r="F8" s="71" t="s">
        <v>171</v>
      </c>
      <c r="G8" s="72" t="s">
        <v>308</v>
      </c>
    </row>
    <row r="9" spans="1:8" ht="60" x14ac:dyDescent="0.3">
      <c r="B9" s="73" t="s">
        <v>172</v>
      </c>
      <c r="C9" s="74" t="s">
        <v>173</v>
      </c>
      <c r="D9" s="75" t="s">
        <v>303</v>
      </c>
      <c r="E9" s="75" t="s">
        <v>174</v>
      </c>
      <c r="F9" s="76" t="s">
        <v>175</v>
      </c>
      <c r="G9" s="77" t="s">
        <v>309</v>
      </c>
    </row>
    <row r="10" spans="1:8" ht="60" x14ac:dyDescent="0.3">
      <c r="B10" s="68" t="s">
        <v>176</v>
      </c>
      <c r="C10" s="69" t="s">
        <v>177</v>
      </c>
      <c r="D10" s="70" t="s">
        <v>178</v>
      </c>
      <c r="E10" s="70" t="s">
        <v>179</v>
      </c>
      <c r="F10" s="71" t="s">
        <v>180</v>
      </c>
      <c r="G10" s="72" t="s">
        <v>310</v>
      </c>
    </row>
    <row r="11" spans="1:8" ht="54.75" customHeight="1" x14ac:dyDescent="0.3">
      <c r="B11" s="73" t="s">
        <v>181</v>
      </c>
      <c r="C11" s="74" t="s">
        <v>182</v>
      </c>
      <c r="D11" s="75" t="s">
        <v>311</v>
      </c>
      <c r="E11" s="75" t="s">
        <v>183</v>
      </c>
      <c r="F11" s="76" t="s">
        <v>184</v>
      </c>
      <c r="G11" s="77" t="s">
        <v>312</v>
      </c>
    </row>
    <row r="12" spans="1:8" ht="9.75" customHeight="1" x14ac:dyDescent="0.3">
      <c r="A12" s="78" t="s">
        <v>185</v>
      </c>
    </row>
    <row r="13" spans="1:8" ht="21.75" customHeight="1" x14ac:dyDescent="0.3">
      <c r="A13" s="10" t="s">
        <v>186</v>
      </c>
      <c r="B13" s="10"/>
      <c r="C13" s="10"/>
      <c r="D13" s="10"/>
      <c r="E13" s="10"/>
      <c r="F13" s="10"/>
      <c r="G13" s="10"/>
      <c r="H13" s="10"/>
    </row>
    <row r="14" spans="1:8" ht="24" x14ac:dyDescent="0.3">
      <c r="B14" s="79" t="s">
        <v>187</v>
      </c>
      <c r="C14" s="79" t="s">
        <v>188</v>
      </c>
      <c r="D14" s="79" t="s">
        <v>189</v>
      </c>
      <c r="E14" s="79" t="s">
        <v>190</v>
      </c>
      <c r="F14" s="79" t="s">
        <v>191</v>
      </c>
    </row>
    <row r="15" spans="1:8" ht="21.75" customHeight="1" x14ac:dyDescent="0.3">
      <c r="B15" s="80" t="s">
        <v>192</v>
      </c>
      <c r="C15" s="80" t="s">
        <v>193</v>
      </c>
      <c r="D15" s="80" t="s">
        <v>194</v>
      </c>
      <c r="E15" s="80" t="s">
        <v>313</v>
      </c>
      <c r="F15" s="80" t="s">
        <v>314</v>
      </c>
    </row>
    <row r="16" spans="1:8" ht="21.75" customHeight="1" x14ac:dyDescent="0.3">
      <c r="B16" s="81" t="s">
        <v>195</v>
      </c>
      <c r="C16" s="81" t="s">
        <v>196</v>
      </c>
      <c r="D16" s="81" t="s">
        <v>197</v>
      </c>
      <c r="E16" s="81" t="s">
        <v>315</v>
      </c>
      <c r="F16" s="81" t="s">
        <v>316</v>
      </c>
    </row>
    <row r="17" spans="1:6" ht="21.75" customHeight="1" x14ac:dyDescent="0.3">
      <c r="B17" s="80" t="s">
        <v>198</v>
      </c>
      <c r="C17" s="80" t="s">
        <v>199</v>
      </c>
      <c r="D17" s="80" t="s">
        <v>200</v>
      </c>
      <c r="E17" s="80" t="s">
        <v>317</v>
      </c>
      <c r="F17" s="80" t="s">
        <v>318</v>
      </c>
    </row>
    <row r="19" spans="1:6" x14ac:dyDescent="0.3">
      <c r="A19" s="82" t="s">
        <v>319</v>
      </c>
    </row>
  </sheetData>
  <mergeCells count="4">
    <mergeCell ref="A1:H1"/>
    <mergeCell ref="A2:H2"/>
    <mergeCell ref="A4:H4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5A5A6"/>
  </sheetPr>
  <dimension ref="A1:Q54"/>
  <sheetViews>
    <sheetView tabSelected="1" zoomScaleNormal="100" workbookViewId="0">
      <selection sqref="A1:O1"/>
    </sheetView>
  </sheetViews>
  <sheetFormatPr defaultColWidth="8.6640625" defaultRowHeight="14.4" x14ac:dyDescent="0.3"/>
  <cols>
    <col min="1" max="4" width="14" customWidth="1"/>
    <col min="5" max="5" width="18" customWidth="1"/>
    <col min="6" max="6" width="16" customWidth="1"/>
    <col min="7" max="7" width="14" customWidth="1"/>
    <col min="8" max="8" width="16" customWidth="1"/>
    <col min="9" max="9" width="15" customWidth="1"/>
    <col min="10" max="10" width="17" customWidth="1"/>
    <col min="11" max="11" width="14" customWidth="1"/>
    <col min="12" max="12" width="16" customWidth="1"/>
    <col min="13" max="13" width="17" customWidth="1"/>
    <col min="14" max="14" width="19" customWidth="1"/>
    <col min="15" max="15" width="22" customWidth="1"/>
    <col min="16" max="16" width="15" customWidth="1"/>
    <col min="17" max="17" width="14" customWidth="1"/>
  </cols>
  <sheetData>
    <row r="1" spans="1:17" ht="27.75" customHeight="1" x14ac:dyDescent="0.3">
      <c r="A1" s="14" t="s">
        <v>201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7" ht="18" customHeight="1" x14ac:dyDescent="0.3">
      <c r="A2" s="13" t="s">
        <v>202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7" ht="21.75" customHeight="1" x14ac:dyDescent="0.3">
      <c r="A4" s="15" t="s">
        <v>203</v>
      </c>
      <c r="B4" s="15" t="s">
        <v>204</v>
      </c>
      <c r="C4" s="15" t="s">
        <v>205</v>
      </c>
      <c r="D4" s="15" t="s">
        <v>206</v>
      </c>
      <c r="E4" s="15" t="s">
        <v>136</v>
      </c>
      <c r="F4" s="15" t="s">
        <v>207</v>
      </c>
      <c r="G4" s="15" t="s">
        <v>208</v>
      </c>
      <c r="H4" s="15" t="s">
        <v>144</v>
      </c>
      <c r="I4" s="15" t="s">
        <v>138</v>
      </c>
      <c r="J4" s="15" t="s">
        <v>209</v>
      </c>
      <c r="K4" s="15" t="s">
        <v>210</v>
      </c>
      <c r="L4" s="15" t="s">
        <v>211</v>
      </c>
      <c r="M4" s="15" t="s">
        <v>212</v>
      </c>
      <c r="N4" s="15" t="s">
        <v>213</v>
      </c>
      <c r="O4" s="15" t="s">
        <v>214</v>
      </c>
      <c r="P4" s="15" t="s">
        <v>39</v>
      </c>
      <c r="Q4" s="15" t="s">
        <v>215</v>
      </c>
    </row>
    <row r="5" spans="1:17" x14ac:dyDescent="0.3">
      <c r="A5" s="83" t="s">
        <v>216</v>
      </c>
      <c r="B5" s="83" t="s">
        <v>217</v>
      </c>
      <c r="C5" s="83">
        <v>37</v>
      </c>
      <c r="D5" s="83" t="s">
        <v>218</v>
      </c>
      <c r="E5" s="83">
        <v>9</v>
      </c>
      <c r="F5" s="83" t="s">
        <v>219</v>
      </c>
      <c r="G5" s="83" t="s">
        <v>35</v>
      </c>
      <c r="H5" s="84">
        <v>65.599999999999994</v>
      </c>
      <c r="I5" s="84">
        <v>974.81</v>
      </c>
      <c r="J5" s="83" t="s">
        <v>220</v>
      </c>
      <c r="K5" s="83">
        <v>0</v>
      </c>
      <c r="L5" s="83" t="s">
        <v>221</v>
      </c>
      <c r="M5" s="83" t="s">
        <v>222</v>
      </c>
      <c r="N5" s="85">
        <v>0.163165593651804</v>
      </c>
      <c r="O5" s="83">
        <v>5</v>
      </c>
      <c r="P5" s="83" t="s">
        <v>42</v>
      </c>
      <c r="Q5" s="83">
        <v>0</v>
      </c>
    </row>
    <row r="6" spans="1:17" x14ac:dyDescent="0.3">
      <c r="A6" s="86" t="s">
        <v>223</v>
      </c>
      <c r="B6" s="86" t="s">
        <v>224</v>
      </c>
      <c r="C6" s="86">
        <v>46</v>
      </c>
      <c r="D6" s="86" t="s">
        <v>225</v>
      </c>
      <c r="E6" s="86">
        <v>9</v>
      </c>
      <c r="F6" s="86" t="s">
        <v>219</v>
      </c>
      <c r="G6" s="86" t="s">
        <v>34</v>
      </c>
      <c r="H6" s="87">
        <v>0</v>
      </c>
      <c r="I6" s="87">
        <v>610.28</v>
      </c>
      <c r="J6" s="86" t="s">
        <v>220</v>
      </c>
      <c r="K6" s="86">
        <v>0</v>
      </c>
      <c r="L6" s="86" t="s">
        <v>221</v>
      </c>
      <c r="M6" s="86" t="s">
        <v>226</v>
      </c>
      <c r="N6" s="88">
        <v>0.36525290968089402</v>
      </c>
      <c r="O6" s="86">
        <v>3</v>
      </c>
      <c r="P6" s="86" t="s">
        <v>42</v>
      </c>
      <c r="Q6" s="86">
        <v>0</v>
      </c>
    </row>
    <row r="7" spans="1:17" x14ac:dyDescent="0.3">
      <c r="A7" s="83" t="s">
        <v>227</v>
      </c>
      <c r="B7" s="83" t="s">
        <v>224</v>
      </c>
      <c r="C7" s="83">
        <v>50</v>
      </c>
      <c r="D7" s="83" t="s">
        <v>225</v>
      </c>
      <c r="E7" s="83">
        <v>4</v>
      </c>
      <c r="F7" s="83" t="s">
        <v>228</v>
      </c>
      <c r="G7" s="83" t="s">
        <v>34</v>
      </c>
      <c r="H7" s="84">
        <v>73.900000000000006</v>
      </c>
      <c r="I7" s="84">
        <v>415.45</v>
      </c>
      <c r="J7" s="83" t="s">
        <v>31</v>
      </c>
      <c r="K7" s="83">
        <v>1</v>
      </c>
      <c r="L7" s="83" t="s">
        <v>229</v>
      </c>
      <c r="M7" s="83" t="s">
        <v>230</v>
      </c>
      <c r="N7" s="85">
        <v>0.89606339395478296</v>
      </c>
      <c r="O7" s="83">
        <v>4</v>
      </c>
      <c r="P7" s="83" t="s">
        <v>41</v>
      </c>
      <c r="Q7" s="83">
        <v>1</v>
      </c>
    </row>
    <row r="8" spans="1:17" x14ac:dyDescent="0.3">
      <c r="A8" s="86" t="s">
        <v>231</v>
      </c>
      <c r="B8" s="86" t="s">
        <v>224</v>
      </c>
      <c r="C8" s="86">
        <v>78</v>
      </c>
      <c r="D8" s="86" t="s">
        <v>232</v>
      </c>
      <c r="E8" s="86">
        <v>13</v>
      </c>
      <c r="F8" s="86" t="s">
        <v>233</v>
      </c>
      <c r="G8" s="86" t="s">
        <v>34</v>
      </c>
      <c r="H8" s="87">
        <v>98</v>
      </c>
      <c r="I8" s="87">
        <v>1599.51</v>
      </c>
      <c r="J8" s="86" t="s">
        <v>31</v>
      </c>
      <c r="K8" s="86">
        <v>1</v>
      </c>
      <c r="L8" s="86" t="s">
        <v>234</v>
      </c>
      <c r="M8" s="86" t="s">
        <v>230</v>
      </c>
      <c r="N8" s="88">
        <v>0.94141565034254804</v>
      </c>
      <c r="O8" s="86">
        <v>5</v>
      </c>
      <c r="P8" s="86" t="s">
        <v>41</v>
      </c>
      <c r="Q8" s="86">
        <v>1</v>
      </c>
    </row>
    <row r="9" spans="1:17" x14ac:dyDescent="0.3">
      <c r="A9" s="83" t="s">
        <v>235</v>
      </c>
      <c r="B9" s="83" t="s">
        <v>217</v>
      </c>
      <c r="C9" s="83">
        <v>75</v>
      </c>
      <c r="D9" s="83" t="s">
        <v>232</v>
      </c>
      <c r="E9" s="83">
        <v>3</v>
      </c>
      <c r="F9" s="83" t="s">
        <v>228</v>
      </c>
      <c r="G9" s="83" t="s">
        <v>34</v>
      </c>
      <c r="H9" s="84">
        <v>83.9</v>
      </c>
      <c r="I9" s="84">
        <v>289.54000000000002</v>
      </c>
      <c r="J9" s="83" t="s">
        <v>31</v>
      </c>
      <c r="K9" s="83">
        <v>1</v>
      </c>
      <c r="L9" s="83" t="s">
        <v>234</v>
      </c>
      <c r="M9" s="83" t="s">
        <v>230</v>
      </c>
      <c r="N9" s="85">
        <v>0.94545689333376204</v>
      </c>
      <c r="O9" s="83">
        <v>4</v>
      </c>
      <c r="P9" s="83" t="s">
        <v>41</v>
      </c>
      <c r="Q9" s="83">
        <v>1</v>
      </c>
    </row>
    <row r="10" spans="1:17" x14ac:dyDescent="0.3">
      <c r="A10" s="86" t="s">
        <v>236</v>
      </c>
      <c r="B10" s="86" t="s">
        <v>217</v>
      </c>
      <c r="C10" s="86">
        <v>23</v>
      </c>
      <c r="D10" s="86" t="s">
        <v>237</v>
      </c>
      <c r="E10" s="86">
        <v>9</v>
      </c>
      <c r="F10" s="86" t="s">
        <v>219</v>
      </c>
      <c r="G10" s="86" t="s">
        <v>34</v>
      </c>
      <c r="H10" s="87">
        <v>69.400000000000006</v>
      </c>
      <c r="I10" s="87">
        <v>722.38</v>
      </c>
      <c r="J10" s="86" t="s">
        <v>220</v>
      </c>
      <c r="K10" s="86">
        <v>0</v>
      </c>
      <c r="L10" s="86" t="s">
        <v>221</v>
      </c>
      <c r="M10" s="86" t="s">
        <v>222</v>
      </c>
      <c r="N10" s="88">
        <v>0.26588387771531402</v>
      </c>
      <c r="O10" s="86">
        <v>4</v>
      </c>
      <c r="P10" s="86" t="s">
        <v>42</v>
      </c>
      <c r="Q10" s="86">
        <v>0</v>
      </c>
    </row>
    <row r="11" spans="1:17" x14ac:dyDescent="0.3">
      <c r="A11" s="83" t="s">
        <v>238</v>
      </c>
      <c r="B11" s="83" t="s">
        <v>217</v>
      </c>
      <c r="C11" s="83">
        <v>67</v>
      </c>
      <c r="D11" s="83" t="s">
        <v>232</v>
      </c>
      <c r="E11" s="83">
        <v>71</v>
      </c>
      <c r="F11" s="83" t="s">
        <v>239</v>
      </c>
      <c r="G11" s="83" t="s">
        <v>36</v>
      </c>
      <c r="H11" s="84">
        <v>109.7</v>
      </c>
      <c r="I11" s="84">
        <v>8611.41</v>
      </c>
      <c r="J11" s="83" t="s">
        <v>220</v>
      </c>
      <c r="K11" s="83">
        <v>0</v>
      </c>
      <c r="L11" s="83" t="s">
        <v>221</v>
      </c>
      <c r="M11" s="83" t="s">
        <v>222</v>
      </c>
      <c r="N11" s="85">
        <v>0.14929575550400401</v>
      </c>
      <c r="O11" s="83">
        <v>7</v>
      </c>
      <c r="P11" s="83" t="s">
        <v>41</v>
      </c>
      <c r="Q11" s="83">
        <v>1</v>
      </c>
    </row>
    <row r="12" spans="1:17" x14ac:dyDescent="0.3">
      <c r="A12" s="86" t="s">
        <v>240</v>
      </c>
      <c r="B12" s="86" t="s">
        <v>224</v>
      </c>
      <c r="C12" s="86">
        <v>52</v>
      </c>
      <c r="D12" s="86" t="s">
        <v>225</v>
      </c>
      <c r="E12" s="86">
        <v>63</v>
      </c>
      <c r="F12" s="86" t="s">
        <v>239</v>
      </c>
      <c r="G12" s="86" t="s">
        <v>36</v>
      </c>
      <c r="H12" s="87">
        <v>84.65</v>
      </c>
      <c r="I12" s="87">
        <v>6214.28</v>
      </c>
      <c r="J12" s="86" t="s">
        <v>220</v>
      </c>
      <c r="K12" s="86">
        <v>0</v>
      </c>
      <c r="L12" s="86" t="s">
        <v>221</v>
      </c>
      <c r="M12" s="86" t="s">
        <v>222</v>
      </c>
      <c r="N12" s="88">
        <v>1.2561234796238699E-2</v>
      </c>
      <c r="O12" s="86">
        <v>5</v>
      </c>
      <c r="P12" s="86" t="s">
        <v>41</v>
      </c>
      <c r="Q12" s="86">
        <v>1</v>
      </c>
    </row>
    <row r="13" spans="1:17" x14ac:dyDescent="0.3">
      <c r="A13" s="83" t="s">
        <v>241</v>
      </c>
      <c r="B13" s="83" t="s">
        <v>217</v>
      </c>
      <c r="C13" s="83">
        <v>68</v>
      </c>
      <c r="D13" s="83" t="s">
        <v>232</v>
      </c>
      <c r="E13" s="83">
        <v>7</v>
      </c>
      <c r="F13" s="83" t="s">
        <v>219</v>
      </c>
      <c r="G13" s="83" t="s">
        <v>36</v>
      </c>
      <c r="H13" s="84">
        <v>48.2</v>
      </c>
      <c r="I13" s="84">
        <v>414.06</v>
      </c>
      <c r="J13" s="83" t="s">
        <v>220</v>
      </c>
      <c r="K13" s="83">
        <v>0</v>
      </c>
      <c r="L13" s="83" t="s">
        <v>221</v>
      </c>
      <c r="M13" s="83" t="s">
        <v>222</v>
      </c>
      <c r="N13" s="85">
        <v>5.7307601135241602E-2</v>
      </c>
      <c r="O13" s="83">
        <v>4</v>
      </c>
      <c r="P13" s="83" t="s">
        <v>43</v>
      </c>
      <c r="Q13" s="83">
        <v>0</v>
      </c>
    </row>
    <row r="14" spans="1:17" x14ac:dyDescent="0.3">
      <c r="A14" s="86" t="s">
        <v>242</v>
      </c>
      <c r="B14" s="86" t="s">
        <v>217</v>
      </c>
      <c r="C14" s="86">
        <v>43</v>
      </c>
      <c r="D14" s="86" t="s">
        <v>218</v>
      </c>
      <c r="E14" s="86">
        <v>65</v>
      </c>
      <c r="F14" s="86" t="s">
        <v>239</v>
      </c>
      <c r="G14" s="86" t="s">
        <v>36</v>
      </c>
      <c r="H14" s="87">
        <v>90.45</v>
      </c>
      <c r="I14" s="87">
        <v>7807.8</v>
      </c>
      <c r="J14" s="86" t="s">
        <v>220</v>
      </c>
      <c r="K14" s="86">
        <v>0</v>
      </c>
      <c r="L14" s="86" t="s">
        <v>221</v>
      </c>
      <c r="M14" s="86" t="s">
        <v>222</v>
      </c>
      <c r="N14" s="88">
        <v>2.5109123813949999E-3</v>
      </c>
      <c r="O14" s="86">
        <v>8</v>
      </c>
      <c r="P14" s="86" t="s">
        <v>42</v>
      </c>
      <c r="Q14" s="86">
        <v>0</v>
      </c>
    </row>
    <row r="15" spans="1:17" x14ac:dyDescent="0.3">
      <c r="A15" s="83" t="s">
        <v>243</v>
      </c>
      <c r="B15" s="83" t="s">
        <v>224</v>
      </c>
      <c r="C15" s="83">
        <v>47</v>
      </c>
      <c r="D15" s="83" t="s">
        <v>225</v>
      </c>
      <c r="E15" s="83">
        <v>54</v>
      </c>
      <c r="F15" s="83" t="s">
        <v>239</v>
      </c>
      <c r="G15" s="83" t="s">
        <v>36</v>
      </c>
      <c r="H15" s="84">
        <v>45.2</v>
      </c>
      <c r="I15" s="84">
        <v>2460.5500000000002</v>
      </c>
      <c r="J15" s="83" t="s">
        <v>220</v>
      </c>
      <c r="K15" s="83">
        <v>0</v>
      </c>
      <c r="L15" s="83" t="s">
        <v>221</v>
      </c>
      <c r="M15" s="83" t="s">
        <v>222</v>
      </c>
      <c r="N15" s="85">
        <v>2.0824744998349201E-2</v>
      </c>
      <c r="O15" s="83">
        <v>4</v>
      </c>
      <c r="P15" s="83" t="s">
        <v>42</v>
      </c>
      <c r="Q15" s="83">
        <v>0</v>
      </c>
    </row>
    <row r="16" spans="1:17" x14ac:dyDescent="0.3">
      <c r="A16" s="86" t="s">
        <v>244</v>
      </c>
      <c r="B16" s="86" t="s">
        <v>217</v>
      </c>
      <c r="C16" s="86">
        <v>25</v>
      </c>
      <c r="D16" s="86" t="s">
        <v>237</v>
      </c>
      <c r="E16" s="86">
        <v>72</v>
      </c>
      <c r="F16" s="86" t="s">
        <v>239</v>
      </c>
      <c r="G16" s="86" t="s">
        <v>36</v>
      </c>
      <c r="H16" s="87">
        <v>116.8</v>
      </c>
      <c r="I16" s="87">
        <v>9609.4699999999993</v>
      </c>
      <c r="J16" s="86" t="s">
        <v>220</v>
      </c>
      <c r="K16" s="86">
        <v>0</v>
      </c>
      <c r="L16" s="86" t="s">
        <v>221</v>
      </c>
      <c r="M16" s="86" t="s">
        <v>222</v>
      </c>
      <c r="N16" s="88">
        <v>2.8169435559370501E-2</v>
      </c>
      <c r="O16" s="86">
        <v>8</v>
      </c>
      <c r="P16" s="86" t="s">
        <v>41</v>
      </c>
      <c r="Q16" s="86">
        <v>1</v>
      </c>
    </row>
    <row r="17" spans="1:17" x14ac:dyDescent="0.3">
      <c r="A17" s="83" t="s">
        <v>245</v>
      </c>
      <c r="B17" s="83" t="s">
        <v>217</v>
      </c>
      <c r="C17" s="83">
        <v>58</v>
      </c>
      <c r="D17" s="83" t="s">
        <v>225</v>
      </c>
      <c r="E17" s="83">
        <v>5</v>
      </c>
      <c r="F17" s="83" t="s">
        <v>228</v>
      </c>
      <c r="G17" s="83" t="s">
        <v>34</v>
      </c>
      <c r="H17" s="84">
        <v>68.95</v>
      </c>
      <c r="I17" s="84">
        <v>444.75</v>
      </c>
      <c r="J17" s="83" t="s">
        <v>220</v>
      </c>
      <c r="K17" s="83">
        <v>0</v>
      </c>
      <c r="L17" s="83" t="s">
        <v>221</v>
      </c>
      <c r="M17" s="83" t="s">
        <v>246</v>
      </c>
      <c r="N17" s="85">
        <v>0.67011786266131002</v>
      </c>
      <c r="O17" s="83">
        <v>3</v>
      </c>
      <c r="P17" s="83" t="s">
        <v>41</v>
      </c>
      <c r="Q17" s="83">
        <v>1</v>
      </c>
    </row>
    <row r="18" spans="1:17" x14ac:dyDescent="0.3">
      <c r="A18" s="86" t="s">
        <v>247</v>
      </c>
      <c r="B18" s="86" t="s">
        <v>217</v>
      </c>
      <c r="C18" s="86">
        <v>32</v>
      </c>
      <c r="D18" s="86" t="s">
        <v>218</v>
      </c>
      <c r="E18" s="86">
        <v>72</v>
      </c>
      <c r="F18" s="86" t="s">
        <v>239</v>
      </c>
      <c r="G18" s="86" t="s">
        <v>36</v>
      </c>
      <c r="H18" s="87">
        <v>101.3</v>
      </c>
      <c r="I18" s="87">
        <v>7423.25</v>
      </c>
      <c r="J18" s="86" t="s">
        <v>220</v>
      </c>
      <c r="K18" s="86">
        <v>0</v>
      </c>
      <c r="L18" s="86" t="s">
        <v>221</v>
      </c>
      <c r="M18" s="86" t="s">
        <v>222</v>
      </c>
      <c r="N18" s="88">
        <v>0.144205157610239</v>
      </c>
      <c r="O18" s="86">
        <v>7</v>
      </c>
      <c r="P18" s="86" t="s">
        <v>41</v>
      </c>
      <c r="Q18" s="86">
        <v>1</v>
      </c>
    </row>
    <row r="19" spans="1:17" x14ac:dyDescent="0.3">
      <c r="A19" s="83" t="s">
        <v>248</v>
      </c>
      <c r="B19" s="83" t="s">
        <v>217</v>
      </c>
      <c r="C19" s="83">
        <v>39</v>
      </c>
      <c r="D19" s="83" t="s">
        <v>218</v>
      </c>
      <c r="E19" s="83">
        <v>56</v>
      </c>
      <c r="F19" s="83" t="s">
        <v>239</v>
      </c>
      <c r="G19" s="83" t="s">
        <v>36</v>
      </c>
      <c r="H19" s="84">
        <v>45.05</v>
      </c>
      <c r="I19" s="84">
        <v>2560.1</v>
      </c>
      <c r="J19" s="83" t="s">
        <v>220</v>
      </c>
      <c r="K19" s="83">
        <v>0</v>
      </c>
      <c r="L19" s="83" t="s">
        <v>221</v>
      </c>
      <c r="M19" s="83" t="s">
        <v>222</v>
      </c>
      <c r="N19" s="85">
        <v>8.1261760302386004E-3</v>
      </c>
      <c r="O19" s="83">
        <v>6</v>
      </c>
      <c r="P19" s="83" t="s">
        <v>43</v>
      </c>
      <c r="Q19" s="83">
        <v>0</v>
      </c>
    </row>
    <row r="20" spans="1:17" x14ac:dyDescent="0.3">
      <c r="A20" s="86" t="s">
        <v>249</v>
      </c>
      <c r="B20" s="86" t="s">
        <v>217</v>
      </c>
      <c r="C20" s="86">
        <v>58</v>
      </c>
      <c r="D20" s="86" t="s">
        <v>225</v>
      </c>
      <c r="E20" s="86">
        <v>71</v>
      </c>
      <c r="F20" s="86" t="s">
        <v>239</v>
      </c>
      <c r="G20" s="86" t="s">
        <v>36</v>
      </c>
      <c r="H20" s="87">
        <v>95.75</v>
      </c>
      <c r="I20" s="87">
        <v>8784.86</v>
      </c>
      <c r="J20" s="86" t="s">
        <v>220</v>
      </c>
      <c r="K20" s="86">
        <v>0</v>
      </c>
      <c r="L20" s="86" t="s">
        <v>221</v>
      </c>
      <c r="M20" s="86" t="s">
        <v>222</v>
      </c>
      <c r="N20" s="88">
        <v>3.6637441052387999E-3</v>
      </c>
      <c r="O20" s="86">
        <v>6</v>
      </c>
      <c r="P20" s="86" t="s">
        <v>41</v>
      </c>
      <c r="Q20" s="86">
        <v>1</v>
      </c>
    </row>
    <row r="21" spans="1:17" x14ac:dyDescent="0.3">
      <c r="A21" s="83" t="s">
        <v>250</v>
      </c>
      <c r="B21" s="83" t="s">
        <v>217</v>
      </c>
      <c r="C21" s="83">
        <v>52</v>
      </c>
      <c r="D21" s="83" t="s">
        <v>225</v>
      </c>
      <c r="E21" s="83">
        <v>34</v>
      </c>
      <c r="F21" s="83" t="s">
        <v>251</v>
      </c>
      <c r="G21" s="83" t="s">
        <v>35</v>
      </c>
      <c r="H21" s="84">
        <v>61.25</v>
      </c>
      <c r="I21" s="84">
        <v>1993.2</v>
      </c>
      <c r="J21" s="83" t="s">
        <v>220</v>
      </c>
      <c r="K21" s="83">
        <v>0</v>
      </c>
      <c r="L21" s="83" t="s">
        <v>221</v>
      </c>
      <c r="M21" s="83" t="s">
        <v>222</v>
      </c>
      <c r="N21" s="85">
        <v>1.7438951343426101E-2</v>
      </c>
      <c r="O21" s="83">
        <v>5</v>
      </c>
      <c r="P21" s="83" t="s">
        <v>43</v>
      </c>
      <c r="Q21" s="83">
        <v>0</v>
      </c>
    </row>
    <row r="22" spans="1:17" x14ac:dyDescent="0.3">
      <c r="A22" s="86" t="s">
        <v>252</v>
      </c>
      <c r="B22" s="86" t="s">
        <v>217</v>
      </c>
      <c r="C22" s="86">
        <v>72</v>
      </c>
      <c r="D22" s="86" t="s">
        <v>232</v>
      </c>
      <c r="E22" s="86">
        <v>1</v>
      </c>
      <c r="F22" s="86" t="s">
        <v>228</v>
      </c>
      <c r="G22" s="86" t="s">
        <v>35</v>
      </c>
      <c r="H22" s="87">
        <v>72.099999999999994</v>
      </c>
      <c r="I22" s="87">
        <v>79.87</v>
      </c>
      <c r="J22" s="86" t="s">
        <v>253</v>
      </c>
      <c r="K22" s="86">
        <v>0</v>
      </c>
      <c r="L22" s="86" t="s">
        <v>221</v>
      </c>
      <c r="M22" s="86" t="s">
        <v>226</v>
      </c>
      <c r="N22" s="88">
        <v>0.35884331106672401</v>
      </c>
      <c r="O22" s="86">
        <v>4</v>
      </c>
      <c r="P22" s="86" t="s">
        <v>41</v>
      </c>
      <c r="Q22" s="86">
        <v>1</v>
      </c>
    </row>
    <row r="23" spans="1:17" x14ac:dyDescent="0.3">
      <c r="A23" s="83" t="s">
        <v>254</v>
      </c>
      <c r="B23" s="83" t="s">
        <v>224</v>
      </c>
      <c r="C23" s="83">
        <v>79</v>
      </c>
      <c r="D23" s="83" t="s">
        <v>232</v>
      </c>
      <c r="E23" s="83">
        <v>45</v>
      </c>
      <c r="F23" s="83" t="s">
        <v>251</v>
      </c>
      <c r="G23" s="83" t="s">
        <v>35</v>
      </c>
      <c r="H23" s="84">
        <v>62.7</v>
      </c>
      <c r="I23" s="84">
        <v>3271.65</v>
      </c>
      <c r="J23" s="83" t="s">
        <v>31</v>
      </c>
      <c r="K23" s="83">
        <v>1</v>
      </c>
      <c r="L23" s="83" t="s">
        <v>234</v>
      </c>
      <c r="M23" s="83" t="s">
        <v>226</v>
      </c>
      <c r="N23" s="85">
        <v>0.41468714982608801</v>
      </c>
      <c r="O23" s="83">
        <v>5</v>
      </c>
      <c r="P23" s="83" t="s">
        <v>43</v>
      </c>
      <c r="Q23" s="83">
        <v>0</v>
      </c>
    </row>
    <row r="24" spans="1:17" x14ac:dyDescent="0.3">
      <c r="A24" s="86" t="s">
        <v>255</v>
      </c>
      <c r="B24" s="86" t="s">
        <v>224</v>
      </c>
      <c r="C24" s="86">
        <v>67</v>
      </c>
      <c r="D24" s="86" t="s">
        <v>232</v>
      </c>
      <c r="E24" s="86">
        <v>1</v>
      </c>
      <c r="F24" s="86" t="s">
        <v>228</v>
      </c>
      <c r="G24" s="86" t="s">
        <v>34</v>
      </c>
      <c r="H24" s="87">
        <v>25.1</v>
      </c>
      <c r="I24" s="87">
        <v>25.1</v>
      </c>
      <c r="J24" s="86" t="s">
        <v>31</v>
      </c>
      <c r="K24" s="86">
        <v>1</v>
      </c>
      <c r="L24" s="86" t="s">
        <v>229</v>
      </c>
      <c r="M24" s="86" t="s">
        <v>230</v>
      </c>
      <c r="N24" s="88">
        <v>0.99493399111679903</v>
      </c>
      <c r="O24" s="86">
        <v>2</v>
      </c>
      <c r="P24" s="86" t="s">
        <v>42</v>
      </c>
      <c r="Q24" s="86">
        <v>0</v>
      </c>
    </row>
    <row r="25" spans="1:17" x14ac:dyDescent="0.3">
      <c r="A25" s="83" t="s">
        <v>256</v>
      </c>
      <c r="B25" s="83" t="s">
        <v>217</v>
      </c>
      <c r="C25" s="83">
        <v>79</v>
      </c>
      <c r="D25" s="83" t="s">
        <v>232</v>
      </c>
      <c r="E25" s="83">
        <v>50</v>
      </c>
      <c r="F25" s="83" t="s">
        <v>239</v>
      </c>
      <c r="G25" s="83" t="s">
        <v>35</v>
      </c>
      <c r="H25" s="84">
        <v>25.2</v>
      </c>
      <c r="I25" s="84">
        <v>2877.8</v>
      </c>
      <c r="J25" s="83" t="s">
        <v>220</v>
      </c>
      <c r="K25" s="83">
        <v>0</v>
      </c>
      <c r="L25" s="83" t="s">
        <v>221</v>
      </c>
      <c r="M25" s="83" t="s">
        <v>222</v>
      </c>
      <c r="N25" s="85">
        <v>4.3082249577241299E-2</v>
      </c>
      <c r="O25" s="83">
        <v>2</v>
      </c>
      <c r="P25" s="83" t="s">
        <v>44</v>
      </c>
      <c r="Q25" s="83">
        <v>0</v>
      </c>
    </row>
    <row r="26" spans="1:17" x14ac:dyDescent="0.3">
      <c r="A26" s="86" t="s">
        <v>257</v>
      </c>
      <c r="B26" s="86" t="s">
        <v>217</v>
      </c>
      <c r="C26" s="86">
        <v>26</v>
      </c>
      <c r="D26" s="86" t="s">
        <v>237</v>
      </c>
      <c r="E26" s="86">
        <v>13</v>
      </c>
      <c r="F26" s="86" t="s">
        <v>233</v>
      </c>
      <c r="G26" s="86" t="s">
        <v>34</v>
      </c>
      <c r="H26" s="87">
        <v>94.1</v>
      </c>
      <c r="I26" s="87">
        <v>1781.88</v>
      </c>
      <c r="J26" s="86" t="s">
        <v>31</v>
      </c>
      <c r="K26" s="86">
        <v>1</v>
      </c>
      <c r="L26" s="86" t="s">
        <v>258</v>
      </c>
      <c r="M26" s="86" t="s">
        <v>246</v>
      </c>
      <c r="N26" s="88">
        <v>0.75750680399760895</v>
      </c>
      <c r="O26" s="86">
        <v>6</v>
      </c>
      <c r="P26" s="86" t="s">
        <v>41</v>
      </c>
      <c r="Q26" s="86">
        <v>1</v>
      </c>
    </row>
    <row r="27" spans="1:17" x14ac:dyDescent="0.3">
      <c r="A27" s="83" t="s">
        <v>259</v>
      </c>
      <c r="B27" s="83" t="s">
        <v>217</v>
      </c>
      <c r="C27" s="83">
        <v>30</v>
      </c>
      <c r="D27" s="83" t="s">
        <v>237</v>
      </c>
      <c r="E27" s="83">
        <v>23</v>
      </c>
      <c r="F27" s="83" t="s">
        <v>233</v>
      </c>
      <c r="G27" s="83" t="s">
        <v>34</v>
      </c>
      <c r="H27" s="84">
        <v>83.75</v>
      </c>
      <c r="I27" s="84">
        <v>2652.88</v>
      </c>
      <c r="J27" s="83" t="s">
        <v>220</v>
      </c>
      <c r="K27" s="83">
        <v>0</v>
      </c>
      <c r="L27" s="83" t="s">
        <v>221</v>
      </c>
      <c r="M27" s="83" t="s">
        <v>222</v>
      </c>
      <c r="N27" s="85">
        <v>0.26261664601814999</v>
      </c>
      <c r="O27" s="83">
        <v>4</v>
      </c>
      <c r="P27" s="83" t="s">
        <v>41</v>
      </c>
      <c r="Q27" s="83">
        <v>1</v>
      </c>
    </row>
    <row r="28" spans="1:17" x14ac:dyDescent="0.3">
      <c r="A28" s="86" t="s">
        <v>260</v>
      </c>
      <c r="B28" s="86" t="s">
        <v>217</v>
      </c>
      <c r="C28" s="86">
        <v>22</v>
      </c>
      <c r="D28" s="86" t="s">
        <v>237</v>
      </c>
      <c r="E28" s="86">
        <v>3</v>
      </c>
      <c r="F28" s="86" t="s">
        <v>228</v>
      </c>
      <c r="G28" s="86" t="s">
        <v>34</v>
      </c>
      <c r="H28" s="87">
        <v>19.850000000000001</v>
      </c>
      <c r="I28" s="87">
        <v>66.56</v>
      </c>
      <c r="J28" s="86" t="s">
        <v>253</v>
      </c>
      <c r="K28" s="86">
        <v>0</v>
      </c>
      <c r="L28" s="86" t="s">
        <v>221</v>
      </c>
      <c r="M28" s="86" t="s">
        <v>230</v>
      </c>
      <c r="N28" s="88">
        <v>0.900185528797529</v>
      </c>
      <c r="O28" s="86">
        <v>1</v>
      </c>
      <c r="P28" s="86" t="s">
        <v>44</v>
      </c>
      <c r="Q28" s="86">
        <v>0</v>
      </c>
    </row>
    <row r="29" spans="1:17" x14ac:dyDescent="0.3">
      <c r="A29" s="83" t="s">
        <v>261</v>
      </c>
      <c r="B29" s="83" t="s">
        <v>217</v>
      </c>
      <c r="C29" s="83">
        <v>34</v>
      </c>
      <c r="D29" s="83" t="s">
        <v>218</v>
      </c>
      <c r="E29" s="83">
        <v>4</v>
      </c>
      <c r="F29" s="83" t="s">
        <v>228</v>
      </c>
      <c r="G29" s="83" t="s">
        <v>34</v>
      </c>
      <c r="H29" s="84">
        <v>20.350000000000001</v>
      </c>
      <c r="I29" s="84">
        <v>126.07</v>
      </c>
      <c r="J29" s="83" t="s">
        <v>31</v>
      </c>
      <c r="K29" s="83">
        <v>1</v>
      </c>
      <c r="L29" s="83" t="s">
        <v>262</v>
      </c>
      <c r="M29" s="83" t="s">
        <v>246</v>
      </c>
      <c r="N29" s="85">
        <v>0.64447191465380405</v>
      </c>
      <c r="O29" s="83">
        <v>1</v>
      </c>
      <c r="P29" s="83" t="s">
        <v>44</v>
      </c>
      <c r="Q29" s="83">
        <v>0</v>
      </c>
    </row>
    <row r="30" spans="1:17" x14ac:dyDescent="0.3">
      <c r="A30" s="86" t="s">
        <v>263</v>
      </c>
      <c r="B30" s="86" t="s">
        <v>217</v>
      </c>
      <c r="C30" s="86">
        <v>37</v>
      </c>
      <c r="D30" s="86" t="s">
        <v>218</v>
      </c>
      <c r="E30" s="86">
        <v>1</v>
      </c>
      <c r="F30" s="86" t="s">
        <v>228</v>
      </c>
      <c r="G30" s="86" t="s">
        <v>34</v>
      </c>
      <c r="H30" s="87">
        <v>30.5</v>
      </c>
      <c r="I30" s="87">
        <v>30.5</v>
      </c>
      <c r="J30" s="86" t="s">
        <v>31</v>
      </c>
      <c r="K30" s="86">
        <v>1</v>
      </c>
      <c r="L30" s="86" t="s">
        <v>264</v>
      </c>
      <c r="M30" s="86" t="s">
        <v>230</v>
      </c>
      <c r="N30" s="88">
        <v>0.92347748616040304</v>
      </c>
      <c r="O30" s="86">
        <v>3</v>
      </c>
      <c r="P30" s="86" t="s">
        <v>43</v>
      </c>
      <c r="Q30" s="86">
        <v>0</v>
      </c>
    </row>
    <row r="31" spans="1:17" x14ac:dyDescent="0.3">
      <c r="A31" s="83" t="s">
        <v>265</v>
      </c>
      <c r="B31" s="83" t="s">
        <v>217</v>
      </c>
      <c r="C31" s="83">
        <v>37</v>
      </c>
      <c r="D31" s="83" t="s">
        <v>218</v>
      </c>
      <c r="E31" s="83">
        <v>55</v>
      </c>
      <c r="F31" s="83" t="s">
        <v>239</v>
      </c>
      <c r="G31" s="83" t="s">
        <v>35</v>
      </c>
      <c r="H31" s="84">
        <v>103.7</v>
      </c>
      <c r="I31" s="84">
        <v>7603.95</v>
      </c>
      <c r="J31" s="83" t="s">
        <v>220</v>
      </c>
      <c r="K31" s="83">
        <v>0</v>
      </c>
      <c r="L31" s="83" t="s">
        <v>221</v>
      </c>
      <c r="M31" s="83" t="s">
        <v>222</v>
      </c>
      <c r="N31" s="85">
        <v>5.7311719897879996E-4</v>
      </c>
      <c r="O31" s="83">
        <v>5</v>
      </c>
      <c r="P31" s="83" t="s">
        <v>41</v>
      </c>
      <c r="Q31" s="83">
        <v>1</v>
      </c>
    </row>
    <row r="32" spans="1:17" x14ac:dyDescent="0.3">
      <c r="A32" s="86" t="s">
        <v>266</v>
      </c>
      <c r="B32" s="86" t="s">
        <v>224</v>
      </c>
      <c r="C32" s="86">
        <v>42</v>
      </c>
      <c r="D32" s="86" t="s">
        <v>218</v>
      </c>
      <c r="E32" s="86">
        <v>54</v>
      </c>
      <c r="F32" s="86" t="s">
        <v>239</v>
      </c>
      <c r="G32" s="86" t="s">
        <v>36</v>
      </c>
      <c r="H32" s="87">
        <v>20.399999999999999</v>
      </c>
      <c r="I32" s="87">
        <v>2154.4</v>
      </c>
      <c r="J32" s="86" t="s">
        <v>220</v>
      </c>
      <c r="K32" s="86">
        <v>0</v>
      </c>
      <c r="L32" s="86" t="s">
        <v>221</v>
      </c>
      <c r="M32" s="86" t="s">
        <v>222</v>
      </c>
      <c r="N32" s="88">
        <v>1.7973420661817E-3</v>
      </c>
      <c r="O32" s="86">
        <v>1</v>
      </c>
      <c r="P32" s="86" t="s">
        <v>44</v>
      </c>
      <c r="Q32" s="86">
        <v>0</v>
      </c>
    </row>
    <row r="33" spans="1:17" x14ac:dyDescent="0.3">
      <c r="A33" s="83" t="s">
        <v>267</v>
      </c>
      <c r="B33" s="83" t="s">
        <v>224</v>
      </c>
      <c r="C33" s="83">
        <v>64</v>
      </c>
      <c r="D33" s="83" t="s">
        <v>232</v>
      </c>
      <c r="E33" s="83">
        <v>26</v>
      </c>
      <c r="F33" s="83" t="s">
        <v>251</v>
      </c>
      <c r="G33" s="83" t="s">
        <v>35</v>
      </c>
      <c r="H33" s="84">
        <v>19.600000000000001</v>
      </c>
      <c r="I33" s="84">
        <v>1430.8</v>
      </c>
      <c r="J33" s="83" t="s">
        <v>220</v>
      </c>
      <c r="K33" s="83">
        <v>0</v>
      </c>
      <c r="L33" s="83" t="s">
        <v>221</v>
      </c>
      <c r="M33" s="83" t="s">
        <v>222</v>
      </c>
      <c r="N33" s="85">
        <v>4.8467819378132201E-2</v>
      </c>
      <c r="O33" s="83">
        <v>1</v>
      </c>
      <c r="P33" s="83" t="s">
        <v>44</v>
      </c>
      <c r="Q33" s="83">
        <v>0</v>
      </c>
    </row>
    <row r="34" spans="1:17" x14ac:dyDescent="0.3">
      <c r="A34" s="86" t="s">
        <v>268</v>
      </c>
      <c r="B34" s="86" t="s">
        <v>217</v>
      </c>
      <c r="C34" s="86">
        <v>47</v>
      </c>
      <c r="D34" s="86" t="s">
        <v>225</v>
      </c>
      <c r="E34" s="86">
        <v>69</v>
      </c>
      <c r="F34" s="86" t="s">
        <v>239</v>
      </c>
      <c r="G34" s="86" t="s">
        <v>36</v>
      </c>
      <c r="H34" s="87">
        <v>19.7</v>
      </c>
      <c r="I34" s="87">
        <v>4045.81</v>
      </c>
      <c r="J34" s="86" t="s">
        <v>220</v>
      </c>
      <c r="K34" s="86">
        <v>0</v>
      </c>
      <c r="L34" s="86" t="s">
        <v>221</v>
      </c>
      <c r="M34" s="86"/>
      <c r="N34" s="88">
        <v>0</v>
      </c>
      <c r="O34" s="86">
        <v>1</v>
      </c>
      <c r="P34" s="86" t="s">
        <v>44</v>
      </c>
      <c r="Q34" s="86">
        <v>0</v>
      </c>
    </row>
    <row r="35" spans="1:17" x14ac:dyDescent="0.3">
      <c r="A35" s="83" t="s">
        <v>269</v>
      </c>
      <c r="B35" s="83" t="s">
        <v>224</v>
      </c>
      <c r="C35" s="83">
        <v>23</v>
      </c>
      <c r="D35" s="83" t="s">
        <v>237</v>
      </c>
      <c r="E35" s="83">
        <v>37</v>
      </c>
      <c r="F35" s="83" t="s">
        <v>251</v>
      </c>
      <c r="G35" s="83" t="s">
        <v>35</v>
      </c>
      <c r="H35" s="84">
        <v>91.2</v>
      </c>
      <c r="I35" s="84">
        <v>4838.92</v>
      </c>
      <c r="J35" s="83" t="s">
        <v>220</v>
      </c>
      <c r="K35" s="83">
        <v>0</v>
      </c>
      <c r="L35" s="83" t="s">
        <v>221</v>
      </c>
      <c r="M35" s="83" t="s">
        <v>222</v>
      </c>
      <c r="N35" s="85">
        <v>9.4601274124203605E-2</v>
      </c>
      <c r="O35" s="83">
        <v>3</v>
      </c>
      <c r="P35" s="83" t="s">
        <v>41</v>
      </c>
      <c r="Q35" s="83">
        <v>1</v>
      </c>
    </row>
    <row r="36" spans="1:17" x14ac:dyDescent="0.3">
      <c r="A36" s="86" t="s">
        <v>270</v>
      </c>
      <c r="B36" s="86" t="s">
        <v>217</v>
      </c>
      <c r="C36" s="86">
        <v>48</v>
      </c>
      <c r="D36" s="86" t="s">
        <v>225</v>
      </c>
      <c r="E36" s="86">
        <v>49</v>
      </c>
      <c r="F36" s="86" t="s">
        <v>239</v>
      </c>
      <c r="G36" s="86" t="s">
        <v>35</v>
      </c>
      <c r="H36" s="87">
        <v>20.45</v>
      </c>
      <c r="I36" s="87">
        <v>3330.32</v>
      </c>
      <c r="J36" s="86" t="s">
        <v>220</v>
      </c>
      <c r="K36" s="86">
        <v>0</v>
      </c>
      <c r="L36" s="86" t="s">
        <v>221</v>
      </c>
      <c r="M36" s="86" t="s">
        <v>222</v>
      </c>
      <c r="N36" s="88">
        <v>3.3288997603642297E-2</v>
      </c>
      <c r="O36" s="86">
        <v>1</v>
      </c>
      <c r="P36" s="86" t="s">
        <v>44</v>
      </c>
      <c r="Q36" s="86">
        <v>0</v>
      </c>
    </row>
    <row r="37" spans="1:17" x14ac:dyDescent="0.3">
      <c r="A37" s="83" t="s">
        <v>271</v>
      </c>
      <c r="B37" s="83" t="s">
        <v>224</v>
      </c>
      <c r="C37" s="83">
        <v>28</v>
      </c>
      <c r="D37" s="83" t="s">
        <v>237</v>
      </c>
      <c r="E37" s="83">
        <v>66</v>
      </c>
      <c r="F37" s="83" t="s">
        <v>239</v>
      </c>
      <c r="G37" s="83" t="s">
        <v>35</v>
      </c>
      <c r="H37" s="84">
        <v>0</v>
      </c>
      <c r="I37" s="84">
        <v>10830.97</v>
      </c>
      <c r="J37" s="83" t="s">
        <v>220</v>
      </c>
      <c r="K37" s="83">
        <v>0</v>
      </c>
      <c r="L37" s="83" t="s">
        <v>221</v>
      </c>
      <c r="M37" s="83" t="s">
        <v>222</v>
      </c>
      <c r="N37" s="85">
        <v>6.6908736087066906E-2</v>
      </c>
      <c r="O37" s="83">
        <v>8</v>
      </c>
      <c r="P37" s="83" t="s">
        <v>41</v>
      </c>
      <c r="Q37" s="83">
        <v>1</v>
      </c>
    </row>
    <row r="38" spans="1:17" x14ac:dyDescent="0.3">
      <c r="A38" s="86" t="s">
        <v>272</v>
      </c>
      <c r="B38" s="86" t="s">
        <v>217</v>
      </c>
      <c r="C38" s="86">
        <v>28</v>
      </c>
      <c r="D38" s="86" t="s">
        <v>237</v>
      </c>
      <c r="E38" s="86">
        <v>67</v>
      </c>
      <c r="F38" s="86" t="s">
        <v>239</v>
      </c>
      <c r="G38" s="86" t="s">
        <v>35</v>
      </c>
      <c r="H38" s="87">
        <v>20.55</v>
      </c>
      <c r="I38" s="87">
        <v>2861.91</v>
      </c>
      <c r="J38" s="86" t="s">
        <v>220</v>
      </c>
      <c r="K38" s="86">
        <v>0</v>
      </c>
      <c r="L38" s="86" t="s">
        <v>221</v>
      </c>
      <c r="M38" s="86" t="s">
        <v>222</v>
      </c>
      <c r="N38" s="88">
        <v>3.3816812536729399E-2</v>
      </c>
      <c r="O38" s="86">
        <v>1</v>
      </c>
      <c r="P38" s="86" t="s">
        <v>44</v>
      </c>
      <c r="Q38" s="86">
        <v>0</v>
      </c>
    </row>
    <row r="39" spans="1:17" x14ac:dyDescent="0.3">
      <c r="A39" s="83" t="s">
        <v>273</v>
      </c>
      <c r="B39" s="83" t="s">
        <v>224</v>
      </c>
      <c r="C39" s="83">
        <v>33</v>
      </c>
      <c r="D39" s="83" t="s">
        <v>218</v>
      </c>
      <c r="E39" s="83">
        <v>20</v>
      </c>
      <c r="F39" s="83" t="s">
        <v>233</v>
      </c>
      <c r="G39" s="83" t="s">
        <v>36</v>
      </c>
      <c r="H39" s="84">
        <v>39.4</v>
      </c>
      <c r="I39" s="84">
        <v>825.4</v>
      </c>
      <c r="J39" s="83" t="s">
        <v>220</v>
      </c>
      <c r="K39" s="83">
        <v>0</v>
      </c>
      <c r="L39" s="83" t="s">
        <v>221</v>
      </c>
      <c r="M39" s="83" t="s">
        <v>222</v>
      </c>
      <c r="N39" s="85">
        <v>1.39357667291969E-2</v>
      </c>
      <c r="O39" s="83">
        <v>5</v>
      </c>
      <c r="P39" s="83" t="s">
        <v>42</v>
      </c>
      <c r="Q39" s="83">
        <v>0</v>
      </c>
    </row>
    <row r="40" spans="1:17" x14ac:dyDescent="0.3">
      <c r="A40" s="86" t="s">
        <v>274</v>
      </c>
      <c r="B40" s="86" t="s">
        <v>217</v>
      </c>
      <c r="C40" s="86">
        <v>31</v>
      </c>
      <c r="D40" s="86" t="s">
        <v>218</v>
      </c>
      <c r="E40" s="86">
        <v>43</v>
      </c>
      <c r="F40" s="86" t="s">
        <v>251</v>
      </c>
      <c r="G40" s="86" t="s">
        <v>36</v>
      </c>
      <c r="H40" s="87">
        <v>25.1</v>
      </c>
      <c r="I40" s="87">
        <v>2387.67</v>
      </c>
      <c r="J40" s="86" t="s">
        <v>220</v>
      </c>
      <c r="K40" s="86">
        <v>0</v>
      </c>
      <c r="L40" s="86" t="s">
        <v>221</v>
      </c>
      <c r="M40" s="86" t="s">
        <v>222</v>
      </c>
      <c r="N40" s="88">
        <v>7.1760978558536997E-3</v>
      </c>
      <c r="O40" s="86">
        <v>2</v>
      </c>
      <c r="P40" s="86" t="s">
        <v>44</v>
      </c>
      <c r="Q40" s="86">
        <v>0</v>
      </c>
    </row>
    <row r="41" spans="1:17" x14ac:dyDescent="0.3">
      <c r="A41" s="83" t="s">
        <v>275</v>
      </c>
      <c r="B41" s="83" t="s">
        <v>217</v>
      </c>
      <c r="C41" s="83">
        <v>37</v>
      </c>
      <c r="D41" s="83" t="s">
        <v>218</v>
      </c>
      <c r="E41" s="83">
        <v>55</v>
      </c>
      <c r="F41" s="83" t="s">
        <v>239</v>
      </c>
      <c r="G41" s="83" t="s">
        <v>34</v>
      </c>
      <c r="H41" s="84">
        <v>89.8</v>
      </c>
      <c r="I41" s="84">
        <v>5239</v>
      </c>
      <c r="J41" s="83" t="s">
        <v>220</v>
      </c>
      <c r="K41" s="83">
        <v>0</v>
      </c>
      <c r="L41" s="83" t="s">
        <v>221</v>
      </c>
      <c r="M41" s="83" t="s">
        <v>226</v>
      </c>
      <c r="N41" s="85">
        <v>0.47917432539524002</v>
      </c>
      <c r="O41" s="83">
        <v>5</v>
      </c>
      <c r="P41" s="83" t="s">
        <v>41</v>
      </c>
      <c r="Q41" s="83">
        <v>1</v>
      </c>
    </row>
    <row r="42" spans="1:17" x14ac:dyDescent="0.3">
      <c r="A42" s="86" t="s">
        <v>276</v>
      </c>
      <c r="B42" s="86" t="s">
        <v>217</v>
      </c>
      <c r="C42" s="86">
        <v>60</v>
      </c>
      <c r="D42" s="86" t="s">
        <v>225</v>
      </c>
      <c r="E42" s="86">
        <v>59</v>
      </c>
      <c r="F42" s="86" t="s">
        <v>239</v>
      </c>
      <c r="G42" s="86" t="s">
        <v>34</v>
      </c>
      <c r="H42" s="87">
        <v>94.75</v>
      </c>
      <c r="I42" s="87">
        <v>6564.66</v>
      </c>
      <c r="J42" s="86" t="s">
        <v>220</v>
      </c>
      <c r="K42" s="86">
        <v>0</v>
      </c>
      <c r="L42" s="86" t="s">
        <v>221</v>
      </c>
      <c r="M42" s="86" t="s">
        <v>222</v>
      </c>
      <c r="N42" s="88">
        <v>0.29437607156232798</v>
      </c>
      <c r="O42" s="86">
        <v>6</v>
      </c>
      <c r="P42" s="86" t="s">
        <v>41</v>
      </c>
      <c r="Q42" s="86">
        <v>1</v>
      </c>
    </row>
    <row r="43" spans="1:17" x14ac:dyDescent="0.3">
      <c r="A43" s="83" t="s">
        <v>277</v>
      </c>
      <c r="B43" s="83" t="s">
        <v>217</v>
      </c>
      <c r="C43" s="83">
        <v>48</v>
      </c>
      <c r="D43" s="83" t="s">
        <v>225</v>
      </c>
      <c r="E43" s="83">
        <v>12</v>
      </c>
      <c r="F43" s="83" t="s">
        <v>219</v>
      </c>
      <c r="G43" s="83" t="s">
        <v>36</v>
      </c>
      <c r="H43" s="84">
        <v>20.3</v>
      </c>
      <c r="I43" s="84">
        <v>455.86</v>
      </c>
      <c r="J43" s="83" t="s">
        <v>220</v>
      </c>
      <c r="K43" s="83">
        <v>0</v>
      </c>
      <c r="L43" s="83" t="s">
        <v>221</v>
      </c>
      <c r="M43" s="83" t="s">
        <v>222</v>
      </c>
      <c r="N43" s="85">
        <v>2.4721684261960499E-2</v>
      </c>
      <c r="O43" s="83">
        <v>1</v>
      </c>
      <c r="P43" s="83" t="s">
        <v>44</v>
      </c>
      <c r="Q43" s="83">
        <v>0</v>
      </c>
    </row>
    <row r="44" spans="1:17" x14ac:dyDescent="0.3">
      <c r="A44" s="86" t="s">
        <v>278</v>
      </c>
      <c r="B44" s="86" t="s">
        <v>224</v>
      </c>
      <c r="C44" s="86">
        <v>60</v>
      </c>
      <c r="D44" s="86" t="s">
        <v>225</v>
      </c>
      <c r="E44" s="86">
        <v>27</v>
      </c>
      <c r="F44" s="86" t="s">
        <v>251</v>
      </c>
      <c r="G44" s="86" t="s">
        <v>34</v>
      </c>
      <c r="H44" s="87">
        <v>75.75</v>
      </c>
      <c r="I44" s="87">
        <v>2611.02</v>
      </c>
      <c r="J44" s="86" t="s">
        <v>220</v>
      </c>
      <c r="K44" s="86">
        <v>0</v>
      </c>
      <c r="L44" s="86" t="s">
        <v>221</v>
      </c>
      <c r="M44" s="86" t="s">
        <v>222</v>
      </c>
      <c r="N44" s="88">
        <v>4.2916454379557899E-2</v>
      </c>
      <c r="O44" s="86">
        <v>4</v>
      </c>
      <c r="P44" s="86" t="s">
        <v>41</v>
      </c>
      <c r="Q44" s="86">
        <v>1</v>
      </c>
    </row>
    <row r="45" spans="1:17" x14ac:dyDescent="0.3">
      <c r="A45" s="83" t="s">
        <v>279</v>
      </c>
      <c r="B45" s="83" t="s">
        <v>224</v>
      </c>
      <c r="C45" s="83">
        <v>69</v>
      </c>
      <c r="D45" s="83" t="s">
        <v>232</v>
      </c>
      <c r="E45" s="83">
        <v>2</v>
      </c>
      <c r="F45" s="83" t="s">
        <v>228</v>
      </c>
      <c r="G45" s="83" t="s">
        <v>34</v>
      </c>
      <c r="H45" s="84">
        <v>49.25</v>
      </c>
      <c r="I45" s="84">
        <v>179.08</v>
      </c>
      <c r="J45" s="83" t="s">
        <v>31</v>
      </c>
      <c r="K45" s="83">
        <v>1</v>
      </c>
      <c r="L45" s="83" t="s">
        <v>229</v>
      </c>
      <c r="M45" s="83" t="s">
        <v>230</v>
      </c>
      <c r="N45" s="85">
        <v>0.97745883111292797</v>
      </c>
      <c r="O45" s="83">
        <v>4</v>
      </c>
      <c r="P45" s="83" t="s">
        <v>43</v>
      </c>
      <c r="Q45" s="83">
        <v>0</v>
      </c>
    </row>
    <row r="46" spans="1:17" x14ac:dyDescent="0.3">
      <c r="A46" s="86" t="s">
        <v>280</v>
      </c>
      <c r="B46" s="86" t="s">
        <v>217</v>
      </c>
      <c r="C46" s="86">
        <v>20</v>
      </c>
      <c r="D46" s="86" t="s">
        <v>237</v>
      </c>
      <c r="E46" s="86">
        <v>27</v>
      </c>
      <c r="F46" s="86" t="s">
        <v>251</v>
      </c>
      <c r="G46" s="86" t="s">
        <v>35</v>
      </c>
      <c r="H46" s="87">
        <v>78.2</v>
      </c>
      <c r="I46" s="87">
        <v>3399.52</v>
      </c>
      <c r="J46" s="86" t="s">
        <v>220</v>
      </c>
      <c r="K46" s="86">
        <v>0</v>
      </c>
      <c r="L46" s="86" t="s">
        <v>221</v>
      </c>
      <c r="M46" s="86" t="s">
        <v>222</v>
      </c>
      <c r="N46" s="88">
        <v>0.18564106209891201</v>
      </c>
      <c r="O46" s="86">
        <v>6</v>
      </c>
      <c r="P46" s="86" t="s">
        <v>43</v>
      </c>
      <c r="Q46" s="86">
        <v>0</v>
      </c>
    </row>
    <row r="47" spans="1:17" x14ac:dyDescent="0.3">
      <c r="A47" s="83" t="s">
        <v>281</v>
      </c>
      <c r="B47" s="83" t="s">
        <v>224</v>
      </c>
      <c r="C47" s="83">
        <v>31</v>
      </c>
      <c r="D47" s="83" t="s">
        <v>218</v>
      </c>
      <c r="E47" s="83">
        <v>25</v>
      </c>
      <c r="F47" s="83" t="s">
        <v>251</v>
      </c>
      <c r="G47" s="83" t="s">
        <v>36</v>
      </c>
      <c r="H47" s="84">
        <v>25.5</v>
      </c>
      <c r="I47" s="84">
        <v>1178.43</v>
      </c>
      <c r="J47" s="83" t="s">
        <v>220</v>
      </c>
      <c r="K47" s="83">
        <v>0</v>
      </c>
      <c r="L47" s="83" t="s">
        <v>221</v>
      </c>
      <c r="M47" s="83" t="s">
        <v>222</v>
      </c>
      <c r="N47" s="85">
        <v>5.2161820915870703E-2</v>
      </c>
      <c r="O47" s="83">
        <v>2</v>
      </c>
      <c r="P47" s="83" t="s">
        <v>44</v>
      </c>
      <c r="Q47" s="83">
        <v>0</v>
      </c>
    </row>
    <row r="48" spans="1:17" x14ac:dyDescent="0.3">
      <c r="A48" s="86" t="s">
        <v>282</v>
      </c>
      <c r="B48" s="86" t="s">
        <v>224</v>
      </c>
      <c r="C48" s="86">
        <v>46</v>
      </c>
      <c r="D48" s="86" t="s">
        <v>225</v>
      </c>
      <c r="E48" s="86">
        <v>25</v>
      </c>
      <c r="F48" s="86" t="s">
        <v>251</v>
      </c>
      <c r="G48" s="86" t="s">
        <v>35</v>
      </c>
      <c r="H48" s="87">
        <v>61.6</v>
      </c>
      <c r="I48" s="87">
        <v>1727.35</v>
      </c>
      <c r="J48" s="86" t="s">
        <v>220</v>
      </c>
      <c r="K48" s="86">
        <v>0</v>
      </c>
      <c r="L48" s="86" t="s">
        <v>221</v>
      </c>
      <c r="M48" s="86" t="s">
        <v>222</v>
      </c>
      <c r="N48" s="88">
        <v>4.9565614643066101E-2</v>
      </c>
      <c r="O48" s="86">
        <v>6</v>
      </c>
      <c r="P48" s="86" t="s">
        <v>42</v>
      </c>
      <c r="Q48" s="86">
        <v>0</v>
      </c>
    </row>
    <row r="49" spans="1:17" x14ac:dyDescent="0.3">
      <c r="A49" s="83" t="s">
        <v>283</v>
      </c>
      <c r="B49" s="83" t="s">
        <v>224</v>
      </c>
      <c r="C49" s="83">
        <v>57</v>
      </c>
      <c r="D49" s="83" t="s">
        <v>225</v>
      </c>
      <c r="E49" s="83">
        <v>29</v>
      </c>
      <c r="F49" s="83" t="s">
        <v>251</v>
      </c>
      <c r="G49" s="83" t="s">
        <v>34</v>
      </c>
      <c r="H49" s="84">
        <v>45</v>
      </c>
      <c r="I49" s="84">
        <v>1230.19</v>
      </c>
      <c r="J49" s="83" t="s">
        <v>220</v>
      </c>
      <c r="K49" s="83">
        <v>0</v>
      </c>
      <c r="L49" s="83" t="s">
        <v>221</v>
      </c>
      <c r="M49" s="83" t="s">
        <v>222</v>
      </c>
      <c r="N49" s="85">
        <v>0.28041932853400497</v>
      </c>
      <c r="O49" s="83">
        <v>6</v>
      </c>
      <c r="P49" s="83" t="s">
        <v>43</v>
      </c>
      <c r="Q49" s="83">
        <v>0</v>
      </c>
    </row>
    <row r="50" spans="1:17" x14ac:dyDescent="0.3">
      <c r="A50" s="86" t="s">
        <v>284</v>
      </c>
      <c r="B50" s="86" t="s">
        <v>224</v>
      </c>
      <c r="C50" s="86">
        <v>19</v>
      </c>
      <c r="D50" s="86" t="s">
        <v>237</v>
      </c>
      <c r="E50" s="86">
        <v>72</v>
      </c>
      <c r="F50" s="86" t="s">
        <v>239</v>
      </c>
      <c r="G50" s="86" t="s">
        <v>36</v>
      </c>
      <c r="H50" s="87">
        <v>85.15</v>
      </c>
      <c r="I50" s="87">
        <v>8646.1200000000008</v>
      </c>
      <c r="J50" s="86" t="s">
        <v>220</v>
      </c>
      <c r="K50" s="86">
        <v>0</v>
      </c>
      <c r="L50" s="86" t="s">
        <v>221</v>
      </c>
      <c r="M50" s="86" t="s">
        <v>222</v>
      </c>
      <c r="N50" s="88">
        <v>1.38498508065928E-2</v>
      </c>
      <c r="O50" s="86">
        <v>7</v>
      </c>
      <c r="P50" s="86" t="s">
        <v>43</v>
      </c>
      <c r="Q50" s="86">
        <v>0</v>
      </c>
    </row>
    <row r="51" spans="1:17" x14ac:dyDescent="0.3">
      <c r="A51" s="83" t="s">
        <v>285</v>
      </c>
      <c r="B51" s="83" t="s">
        <v>217</v>
      </c>
      <c r="C51" s="83">
        <v>64</v>
      </c>
      <c r="D51" s="83" t="s">
        <v>232</v>
      </c>
      <c r="E51" s="83">
        <v>14</v>
      </c>
      <c r="F51" s="83" t="s">
        <v>233</v>
      </c>
      <c r="G51" s="83" t="s">
        <v>35</v>
      </c>
      <c r="H51" s="84">
        <v>51.45</v>
      </c>
      <c r="I51" s="84">
        <v>1064.4100000000001</v>
      </c>
      <c r="J51" s="83" t="s">
        <v>220</v>
      </c>
      <c r="K51" s="83">
        <v>0</v>
      </c>
      <c r="L51" s="83" t="s">
        <v>221</v>
      </c>
      <c r="M51" s="83" t="s">
        <v>222</v>
      </c>
      <c r="N51" s="85">
        <v>7.6309153372821001E-2</v>
      </c>
      <c r="O51" s="83">
        <v>4</v>
      </c>
      <c r="P51" s="83" t="s">
        <v>42</v>
      </c>
      <c r="Q51" s="83">
        <v>0</v>
      </c>
    </row>
    <row r="52" spans="1:17" x14ac:dyDescent="0.3">
      <c r="A52" s="86" t="s">
        <v>286</v>
      </c>
      <c r="B52" s="86" t="s">
        <v>217</v>
      </c>
      <c r="C52" s="86">
        <v>38</v>
      </c>
      <c r="D52" s="86" t="s">
        <v>218</v>
      </c>
      <c r="E52" s="86">
        <v>35</v>
      </c>
      <c r="F52" s="86" t="s">
        <v>251</v>
      </c>
      <c r="G52" s="86" t="s">
        <v>35</v>
      </c>
      <c r="H52" s="87">
        <v>99.25</v>
      </c>
      <c r="I52" s="87">
        <v>4806.7</v>
      </c>
      <c r="J52" s="86" t="s">
        <v>220</v>
      </c>
      <c r="K52" s="86">
        <v>0</v>
      </c>
      <c r="L52" s="86" t="s">
        <v>221</v>
      </c>
      <c r="M52" s="86" t="s">
        <v>222</v>
      </c>
      <c r="N52" s="88">
        <v>0.28456028572914899</v>
      </c>
      <c r="O52" s="86">
        <v>5</v>
      </c>
      <c r="P52" s="86" t="s">
        <v>41</v>
      </c>
      <c r="Q52" s="86">
        <v>1</v>
      </c>
    </row>
    <row r="53" spans="1:17" x14ac:dyDescent="0.3">
      <c r="A53" s="83" t="s">
        <v>287</v>
      </c>
      <c r="B53" s="83" t="s">
        <v>224</v>
      </c>
      <c r="C53" s="83">
        <v>54</v>
      </c>
      <c r="D53" s="83" t="s">
        <v>225</v>
      </c>
      <c r="E53" s="83">
        <v>1</v>
      </c>
      <c r="F53" s="83" t="s">
        <v>228</v>
      </c>
      <c r="G53" s="83" t="s">
        <v>34</v>
      </c>
      <c r="H53" s="84">
        <v>44.3</v>
      </c>
      <c r="I53" s="84">
        <v>87.25</v>
      </c>
      <c r="J53" s="83" t="s">
        <v>253</v>
      </c>
      <c r="K53" s="83">
        <v>0</v>
      </c>
      <c r="L53" s="83" t="s">
        <v>221</v>
      </c>
      <c r="M53" s="83" t="s">
        <v>230</v>
      </c>
      <c r="N53" s="85">
        <v>0.99874461423807503</v>
      </c>
      <c r="O53" s="83">
        <v>3</v>
      </c>
      <c r="P53" s="83" t="s">
        <v>43</v>
      </c>
      <c r="Q53" s="83">
        <v>0</v>
      </c>
    </row>
    <row r="54" spans="1:17" x14ac:dyDescent="0.3">
      <c r="A54" s="86" t="s">
        <v>288</v>
      </c>
      <c r="B54" s="86" t="s">
        <v>224</v>
      </c>
      <c r="C54" s="86">
        <v>50</v>
      </c>
      <c r="D54" s="86" t="s">
        <v>225</v>
      </c>
      <c r="E54" s="86">
        <v>29</v>
      </c>
      <c r="F54" s="86" t="s">
        <v>251</v>
      </c>
      <c r="G54" s="86" t="s">
        <v>34</v>
      </c>
      <c r="H54" s="87">
        <v>94.2</v>
      </c>
      <c r="I54" s="87">
        <v>2687.05</v>
      </c>
      <c r="J54" s="86" t="s">
        <v>220</v>
      </c>
      <c r="K54" s="86">
        <v>0</v>
      </c>
      <c r="L54" s="86" t="s">
        <v>221</v>
      </c>
      <c r="M54" s="86" t="s">
        <v>226</v>
      </c>
      <c r="N54" s="88">
        <v>0.56423323701480099</v>
      </c>
      <c r="O54" s="86">
        <v>3</v>
      </c>
      <c r="P54" s="86" t="s">
        <v>41</v>
      </c>
      <c r="Q54" s="86">
        <v>1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 · Executive Summary</vt:lpstr>
      <vt:lpstr>02 · Churn Deep Dive</vt:lpstr>
      <vt:lpstr>03 · Revenue Waterfall</vt:lpstr>
      <vt:lpstr>04 · ML Predictions</vt:lpstr>
      <vt:lpstr>05 · Strategic Playbook</vt:lpstr>
      <vt:lpstr>06 · Clean Data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Frederik Chan</cp:lastModifiedBy>
  <cp:revision>0</cp:revision>
  <dcterms:created xsi:type="dcterms:W3CDTF">2026-04-12T14:47:13Z</dcterms:created>
  <dcterms:modified xsi:type="dcterms:W3CDTF">2026-04-28T10:40:13Z</dcterms:modified>
  <dc:language>en-US</dc:language>
</cp:coreProperties>
</file>